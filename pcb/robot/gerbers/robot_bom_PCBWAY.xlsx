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D:\JHORDAN\FREELANCE\PROYECTOS\KICAD_USB_PD_MODULAR\Github\smartphone-robot-cad\pcb\robot\gerbers\"/>
    </mc:Choice>
  </mc:AlternateContent>
  <xr:revisionPtr revIDLastSave="0" documentId="13_ncr:40009_{9D6D3FC9-67AF-4E9C-AA84-DDB598F2FA90}" xr6:coauthVersionLast="47" xr6:coauthVersionMax="47" xr10:uidLastSave="{00000000-0000-0000-0000-000000000000}"/>
  <bookViews>
    <workbookView xWindow="-120" yWindow="-120" windowWidth="20730" windowHeight="11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83" i="1"/>
  <c r="H87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6" i="1"/>
</calcChain>
</file>

<file path=xl/sharedStrings.xml><?xml version="1.0" encoding="utf-8"?>
<sst xmlns="http://schemas.openxmlformats.org/spreadsheetml/2006/main" count="739" uniqueCount="299">
  <si>
    <t>PCBWay Bom Quotation, Product No.:T-X8W806506A</t>
  </si>
  <si>
    <t>Item #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</si>
  <si>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</si>
  <si>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Qty</t>
    </r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</si>
  <si>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</si>
  <si>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</si>
  <si>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Package/Footprint</t>
    </r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</si>
  <si>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Unit Price(5 units)</t>
    </r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</si>
  <si>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Total</t>
    </r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</si>
  <si>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Delivery Time</t>
    </r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</si>
  <si>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Actual Purchase Mfg Part #</t>
    </r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</si>
  <si>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PCBWay Note</t>
    </r>
  </si>
  <si>
    <t>Customer Reply</t>
  </si>
  <si>
    <t>PCBWay Update</t>
  </si>
  <si>
    <t>C1,C33,C34,C76,C78,C93,C94,C95</t>
  </si>
  <si>
    <t>GRM188R61A226ME15D</t>
  </si>
  <si>
    <t>22uF</t>
  </si>
  <si>
    <t>robot:C_0603_1608Metric</t>
  </si>
  <si>
    <t/>
  </si>
  <si>
    <t>C2,C3,C18,C19</t>
  </si>
  <si>
    <t>GRM1555C1H270JA01J</t>
  </si>
  <si>
    <t>27pF</t>
  </si>
  <si>
    <t>robot:C_0402_1005Metric</t>
  </si>
  <si>
    <t>C4,C17,C20,C25,C27,C42,C43,C45,C67,C68,C75,C77,C80,C129,C130,C132,C134,C136</t>
  </si>
  <si>
    <t>GRM188R61E106KA73J</t>
  </si>
  <si>
    <t>10uF</t>
  </si>
  <si>
    <t>C5,C6,C7,C9,C11,C12,C13,C14,C15,C16,C24,C32,C35,C36,C37,C38,C39,C40,C41,C44,C57,C58,C59,C60,C61,C62,C63,C64,C65,C66,C70,C71,C72,C73,C92,C102,C103,C104</t>
  </si>
  <si>
    <t>CL05A104KA5NNNC</t>
  </si>
  <si>
    <t>0.1uF</t>
  </si>
  <si>
    <t>C8,C10,C21,C22,C29,C46,C55,C69,C88,C105,C126</t>
  </si>
  <si>
    <t>GRM155R61E105KA12D</t>
  </si>
  <si>
    <t>1uF</t>
  </si>
  <si>
    <t>C23,C124</t>
  </si>
  <si>
    <t>GRM188R61E475KE11D</t>
  </si>
  <si>
    <t>4.7uF</t>
  </si>
  <si>
    <t>C26,C56</t>
  </si>
  <si>
    <t>CL10B474KO8NNNC</t>
  </si>
  <si>
    <t>0.47uF</t>
  </si>
  <si>
    <t>C28</t>
  </si>
  <si>
    <t>CL10A225KP8NNNC</t>
  </si>
  <si>
    <t>2.2uF</t>
  </si>
  <si>
    <t>C30,C31</t>
  </si>
  <si>
    <t>CL10B224KA8NNNC</t>
  </si>
  <si>
    <t>0.22uF</t>
  </si>
  <si>
    <t>C81</t>
  </si>
  <si>
    <t>CL21A476MRYNNNE</t>
  </si>
  <si>
    <t>47uF</t>
  </si>
  <si>
    <t>robot:C_0805_2012Metric</t>
  </si>
  <si>
    <t>C82,C83,C109,C125,C127,C131</t>
  </si>
  <si>
    <t>GRM31CD80J107MEA8K</t>
  </si>
  <si>
    <t>100uF</t>
  </si>
  <si>
    <t>robot:C_1206_3216Metric,robot:C_1210_3225Metric</t>
  </si>
  <si>
    <t>The correct package for the listed Part Number [GRM31CD80J107MEA8K] is indeed [1206], not [1210].Please confirm.</t>
  </si>
  <si>
    <t>C110,C117,C120</t>
  </si>
  <si>
    <t>GRM155R71H223KA12J</t>
  </si>
  <si>
    <t>22nF</t>
  </si>
  <si>
    <t>C111</t>
  </si>
  <si>
    <t>GCM155R71H152KA37D</t>
  </si>
  <si>
    <t>1.5nF</t>
  </si>
  <si>
    <t>C112,C122</t>
  </si>
  <si>
    <t>CC0402KRX7R9BB332</t>
  </si>
  <si>
    <t>3.3nF</t>
  </si>
  <si>
    <t>C113,C114,C116,C119,C121</t>
  </si>
  <si>
    <t>GRM155R62A104KE14D</t>
  </si>
  <si>
    <t>C115,C118</t>
  </si>
  <si>
    <t>885012205067</t>
  </si>
  <si>
    <t>10nF</t>
  </si>
  <si>
    <t>C123,C128</t>
  </si>
  <si>
    <t>GRM155R71H473KE14D</t>
  </si>
  <si>
    <t>47nF</t>
  </si>
  <si>
    <t>C137</t>
  </si>
  <si>
    <t>1210X5R107M160NT</t>
  </si>
  <si>
    <t>robot:C_1210_3225Metric</t>
  </si>
  <si>
    <t>D1</t>
  </si>
  <si>
    <t>NCD1803R1</t>
  </si>
  <si>
    <t>LED-RED</t>
  </si>
  <si>
    <t>robot:B12H1UYG-20D000134U1930</t>
  </si>
  <si>
    <t>D2</t>
  </si>
  <si>
    <t>NCD1803C1</t>
  </si>
  <si>
    <t>LED-YG</t>
  </si>
  <si>
    <t>D3</t>
  </si>
  <si>
    <t>NCD1803Y1</t>
  </si>
  <si>
    <t>LED-Amber</t>
  </si>
  <si>
    <t>D4,D6,D10</t>
  </si>
  <si>
    <t>SMF13A</t>
  </si>
  <si>
    <t>robot:D_SOD-123F</t>
  </si>
  <si>
    <t>杰盛微(JSMSEMI) SMF(SOD-123FL)</t>
  </si>
  <si>
    <t>D5</t>
  </si>
  <si>
    <t>TJ-S1706SW6TGLC2G-A5</t>
  </si>
  <si>
    <t>LED-GREEN</t>
  </si>
  <si>
    <t>D7</t>
  </si>
  <si>
    <t>SD2114S040S8R0</t>
  </si>
  <si>
    <t>D_Schottky</t>
  </si>
  <si>
    <t>robot:SD2114S040S8R0</t>
  </si>
  <si>
    <t>[moq=10];</t>
  </si>
  <si>
    <t>D9,D11</t>
  </si>
  <si>
    <t>1N4448HLP-7</t>
  </si>
  <si>
    <t>IN4448HLP</t>
  </si>
  <si>
    <t>robot:D_0402_1005Metric</t>
  </si>
  <si>
    <t>IC1</t>
  </si>
  <si>
    <t>TPS22998RYZR</t>
  </si>
  <si>
    <t>robot:TPS22998RYZR</t>
  </si>
  <si>
    <t>J1</t>
  </si>
  <si>
    <t>12401610E4#2A</t>
  </si>
  <si>
    <t>USBC_Receptacle_SMD_RA</t>
  </si>
  <si>
    <t>robot:CON_USB3.1-C_RCPT_SMD_RA_ACP_12401610E4#2A</t>
  </si>
  <si>
    <t>J2</t>
  </si>
  <si>
    <t>C50950</t>
  </si>
  <si>
    <t>Conn_01x05</t>
  </si>
  <si>
    <t>robot:PinSocket_1x05_P2.54mm_Vertical</t>
  </si>
  <si>
    <t>2.54-1*5P母</t>
  </si>
  <si>
    <t>J3,J5</t>
  </si>
  <si>
    <t>B6B-ZR-SM4-TF(LF)(SN)</t>
  </si>
  <si>
    <t>Conn_01x06_MountingPin</t>
  </si>
  <si>
    <t>robot:CONN_B6B-ZR-SM4-TF_JST</t>
  </si>
  <si>
    <t>L1,L3</t>
  </si>
  <si>
    <t>NRS6028T1R5NMGJ</t>
  </si>
  <si>
    <t>1.5uH</t>
  </si>
  <si>
    <t>robot:NRS6028T1R5NMGJ</t>
  </si>
  <si>
    <t>L2</t>
  </si>
  <si>
    <t>IHLP2020BZERR47M01</t>
  </si>
  <si>
    <t>0.47uH</t>
  </si>
  <si>
    <t>robot:Vishay-IHLP-2020BZ-FP_1.905x2.79-3D_2.0-0-0-MFG</t>
  </si>
  <si>
    <t>Q1,Q7</t>
  </si>
  <si>
    <t>BSS138</t>
  </si>
  <si>
    <t>Q_NMOS_GDS</t>
  </si>
  <si>
    <t>robot:SOT-23</t>
  </si>
  <si>
    <t>HOTTECH SOT-23</t>
  </si>
  <si>
    <t>Q2</t>
  </si>
  <si>
    <t>EFC8811R-TF</t>
  </si>
  <si>
    <t>robot:ON_Semiconductor-568AL-10_2013-O-MFG</t>
  </si>
  <si>
    <t>7-10 Workdays</t>
  </si>
  <si>
    <t>Q3</t>
  </si>
  <si>
    <t>AS2312</t>
  </si>
  <si>
    <t>Q4</t>
  </si>
  <si>
    <t>YJL3416A</t>
  </si>
  <si>
    <t>YANGJIE(扬杰) SOT-23(TO-236)</t>
  </si>
  <si>
    <t>Q5,Q6</t>
  </si>
  <si>
    <t>SN74AHC125RGYR</t>
  </si>
  <si>
    <t>robot:SN74AHC125RGYR</t>
  </si>
  <si>
    <t>R1,R5,R46,R47,R50</t>
  </si>
  <si>
    <t>WR04X102 JTL</t>
  </si>
  <si>
    <t>1k</t>
  </si>
  <si>
    <t>robot:R_0402_1005Metric</t>
  </si>
  <si>
    <t>WR04X102JTL</t>
  </si>
  <si>
    <t>R3,R4</t>
  </si>
  <si>
    <t>0402WGJ0270TCE</t>
  </si>
  <si>
    <t>27</t>
  </si>
  <si>
    <t>R6,R7,R41,R42</t>
  </si>
  <si>
    <t>0402WGF100JTCE</t>
  </si>
  <si>
    <t>10</t>
  </si>
  <si>
    <t>R8,R18</t>
  </si>
  <si>
    <t>RK73B1JTTD473J</t>
  </si>
  <si>
    <t>47K</t>
  </si>
  <si>
    <t>robot:R_0603_1608Metric</t>
  </si>
  <si>
    <t>R11,R52,R54,R67,R68,R69,R70,R71,R72,R77,R78</t>
  </si>
  <si>
    <t>RMCF0805ZT0R00</t>
  </si>
  <si>
    <t>0</t>
  </si>
  <si>
    <t>robot:R_0805_2012Metric</t>
  </si>
  <si>
    <t>R14,R15,R20,R21</t>
  </si>
  <si>
    <t>RMCF0603JT2K20</t>
  </si>
  <si>
    <t>2.2k</t>
  </si>
  <si>
    <t>R16</t>
  </si>
  <si>
    <t>0603WAJ0514T5E</t>
  </si>
  <si>
    <t>510k</t>
  </si>
  <si>
    <t>R17,R49,R59,R60,R61,R89,R99</t>
  </si>
  <si>
    <t>WR06X1003FTL</t>
  </si>
  <si>
    <t>100k</t>
  </si>
  <si>
    <t>R19</t>
  </si>
  <si>
    <t>0603WAJ0204T5E</t>
  </si>
  <si>
    <t>200k</t>
  </si>
  <si>
    <t>R22,R23,R24,R25,R56,R58,R97</t>
  </si>
  <si>
    <t>RMCF0603JT100R</t>
  </si>
  <si>
    <t>100</t>
  </si>
  <si>
    <t>R28,R31,R96,R102</t>
  </si>
  <si>
    <t>WR06X1002FTL</t>
  </si>
  <si>
    <t>10k</t>
  </si>
  <si>
    <t>R29,R30</t>
  </si>
  <si>
    <t>FRL0603JR390TS</t>
  </si>
  <si>
    <t>0.39</t>
  </si>
  <si>
    <t>R43,R45,R103,R104</t>
  </si>
  <si>
    <t>SR0603JR-7T200RL</t>
  </si>
  <si>
    <t>200</t>
  </si>
  <si>
    <t>R44</t>
  </si>
  <si>
    <t>PA0805FRF470R005L</t>
  </si>
  <si>
    <t>5m</t>
  </si>
  <si>
    <t>R48</t>
  </si>
  <si>
    <t>RMCF0603FT2K00</t>
  </si>
  <si>
    <t>2k</t>
  </si>
  <si>
    <t>R51</t>
  </si>
  <si>
    <t>ERJ-8CWJR010V</t>
  </si>
  <si>
    <t>10m</t>
  </si>
  <si>
    <t>robot:R_1206_3216Metric</t>
  </si>
  <si>
    <t>R62</t>
  </si>
  <si>
    <t>0603WAF1602T5E</t>
  </si>
  <si>
    <t>16k</t>
  </si>
  <si>
    <t>R63,R64</t>
  </si>
  <si>
    <t>0603WAJ0512T5E</t>
  </si>
  <si>
    <t>5.1k</t>
  </si>
  <si>
    <t>R76,R79,R82,R83,R84,R85,R86,R87,R88,R90,R91,R92,R94</t>
  </si>
  <si>
    <t>0603WAF0000T5E</t>
  </si>
  <si>
    <t>R98</t>
  </si>
  <si>
    <t>0402WGF1503TCE</t>
  </si>
  <si>
    <t>150k</t>
  </si>
  <si>
    <t>R100</t>
  </si>
  <si>
    <t>RC0402FR-07220KL</t>
  </si>
  <si>
    <t>220k</t>
  </si>
  <si>
    <t>R101</t>
  </si>
  <si>
    <t>0402WGF6801TCE</t>
  </si>
  <si>
    <t>6.8k</t>
  </si>
  <si>
    <t>S2</t>
  </si>
  <si>
    <t>PTS815 SJM 250 SMTR LFS</t>
  </si>
  <si>
    <t>robot:SW4_PTS815 SJM 250 SMTR LFS_CNK</t>
  </si>
  <si>
    <t>PTS815SJM250SMTRLFS</t>
  </si>
  <si>
    <t>S3</t>
  </si>
  <si>
    <t>JS202011JCQN</t>
  </si>
  <si>
    <t>robot:SW_JS202011JCQN</t>
  </si>
  <si>
    <t>SW1</t>
  </si>
  <si>
    <t>533980271</t>
  </si>
  <si>
    <t>SW_SPST</t>
  </si>
  <si>
    <t>robot:MOLEX_picoblade_SMT_2pin</t>
  </si>
  <si>
    <t>53398-0271</t>
  </si>
  <si>
    <t>TH2</t>
  </si>
  <si>
    <t>NCP15WF104F03RC</t>
  </si>
  <si>
    <t>TP1,TP2,TP9,TP10,TP11,TP16,TP17,TP18,TP19,TP20,TP21,TP22,TP23,TP24,TP26,TP27,TP33</t>
  </si>
  <si>
    <t>RCUCTE</t>
  </si>
  <si>
    <t>SMD_0603</t>
  </si>
  <si>
    <t>robot:TestPoint_SMD_0603</t>
  </si>
  <si>
    <t>TP30,TP34,TP39,TP40,TP41,TP42,TP43</t>
  </si>
  <si>
    <t>5002</t>
  </si>
  <si>
    <t>TestPoint</t>
  </si>
  <si>
    <t>robot:KEYSTONE_5002</t>
  </si>
  <si>
    <t>U1</t>
  </si>
  <si>
    <t>STWLC38JRM</t>
  </si>
  <si>
    <t>robot:BGA40C40P5X8_213X333X57</t>
  </si>
  <si>
    <t>U2</t>
  </si>
  <si>
    <t>W25Q128JVSIQ</t>
  </si>
  <si>
    <t>W25Q128JVS</t>
  </si>
  <si>
    <t>robot:SOIC-8_5.23x5.23mm_P1.27mm</t>
  </si>
  <si>
    <t>U3</t>
  </si>
  <si>
    <t>SC0914(13)</t>
  </si>
  <si>
    <t>RP2040</t>
  </si>
  <si>
    <t>robot:RP2040-QFN-56</t>
  </si>
  <si>
    <t>The quoted part number is [SC0914(13)], not [RP2040] as specified in description</t>
  </si>
  <si>
    <t>U4</t>
  </si>
  <si>
    <t>NCP3901FCCT1G</t>
  </si>
  <si>
    <t>NCP3901</t>
  </si>
  <si>
    <t>robot:NCP3901</t>
  </si>
  <si>
    <t>U5</t>
  </si>
  <si>
    <t>LSF0102DCTR</t>
  </si>
  <si>
    <t>robot:SOP65P400X130-8N</t>
  </si>
  <si>
    <t>U6</t>
  </si>
  <si>
    <t>MAX77857BEWB+</t>
  </si>
  <si>
    <t>robot:WLP-35_7x5_2.828x2.028mm</t>
  </si>
  <si>
    <t>The part we can get here was made in the year of 2022+ 0K?</t>
  </si>
  <si>
    <t>U7</t>
  </si>
  <si>
    <t>AP2502KTR-G1</t>
  </si>
  <si>
    <t>robot:SOT95P280X145-6N</t>
  </si>
  <si>
    <t>U8,U9</t>
  </si>
  <si>
    <t>DRV8830DRCR</t>
  </si>
  <si>
    <t>robot:IC_DRV8830DRCR</t>
  </si>
  <si>
    <t>U10</t>
  </si>
  <si>
    <t>C202140</t>
  </si>
  <si>
    <t>TPS63021DSJR</t>
  </si>
  <si>
    <t>robot:IC_TPS63021DSJR</t>
  </si>
  <si>
    <t>U11</t>
  </si>
  <si>
    <t>C49195704</t>
  </si>
  <si>
    <t>XC6206PxxxMR</t>
  </si>
  <si>
    <t>Package_TO_SOT_SMD:SOT-23-3</t>
  </si>
  <si>
    <t>XC6206-1.8V</t>
  </si>
  <si>
    <t>U12</t>
  </si>
  <si>
    <t>BQ27742YZFR-G1</t>
  </si>
  <si>
    <t>robot:Texas_Instruments-YZF0015-0-0-MFG</t>
  </si>
  <si>
    <t>U13</t>
  </si>
  <si>
    <t>MAX77976EFD+</t>
  </si>
  <si>
    <t>robot:MAX77976</t>
  </si>
  <si>
    <t>U18</t>
  </si>
  <si>
    <t>AP33771DKZ-13</t>
  </si>
  <si>
    <t>robot:AP33771DKZ13</t>
  </si>
  <si>
    <t>U25</t>
  </si>
  <si>
    <t>TVS0500DRVR</t>
  </si>
  <si>
    <t>TVS0500DRV</t>
  </si>
  <si>
    <t>robot:TVS0500DRVR</t>
  </si>
  <si>
    <t>U26,U27,U28,U29</t>
  </si>
  <si>
    <t>TPD1E05U06DPYR</t>
  </si>
  <si>
    <t>TPD1E05U06</t>
  </si>
  <si>
    <t>robot:TPD1E05U06DPYR</t>
  </si>
  <si>
    <t>The correct package for the listed Part Number [TPD1E05U06DPYR] is indeed [X1SON-2(0.6x1)], not [robot:TPD1E05U06DPYR].Please confirm.</t>
  </si>
  <si>
    <t>Y1</t>
  </si>
  <si>
    <t>ECS-120-8-36-CKM-TR3</t>
  </si>
  <si>
    <t>robot:XTAL_ECS-120-8-36-CKM-TR3</t>
  </si>
  <si>
    <t>The quoted part number is [ECS-120-8-36-CKM-TR3], not [XTAL] as specified in description,The correct package for the listed Part Number [ECS-120-8-36-CKM-TR3] is indeed [SMD2520-4P], not [robot:XTAL_ECS-120-8-36-CKM-TR3].Please confirm.</t>
  </si>
  <si>
    <t>Component Cost</t>
  </si>
  <si>
    <t>Assembly Cost</t>
  </si>
  <si>
    <t>PCB Cost</t>
  </si>
  <si>
    <t>V0 Member 0% off</t>
  </si>
  <si>
    <t>All Total 5 Units</t>
  </si>
  <si>
    <t>That's correct, no problem.</t>
  </si>
  <si>
    <t>If it works, there's no problem.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</si>
</sst>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\$0.000"/>
    <numFmt numFmtId="175" formatCode="\$0.00"/>
  </numFmts>
  <fonts count="7">
    <font>
      <sz val="12"/>
      <name val="宋体"/>
      <charset val="134"/>
    </font>
    <font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5" borderId="0" xfId="0" applyFont="1" applyFill="1">
      <alignment vertical="center"/>
    </xf>
    <xf numFmtId="0" fontId="1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5" borderId="1" xfId="0" applyFont="1" applyFill="1" applyBorder="1">
      <alignment vertical="center"/>
    </xf>
    <xf numFmtId="0" fontId="4" fillId="0" borderId="1" xfId="0" applyFont="1" applyBorder="1" applyAlignment="1">
      <alignment vertical="center" wrapText="1"/>
    </xf>
    <xf numFmtId="174" fontId="4" fillId="0" borderId="1" xfId="0" applyNumberFormat="1" applyFont="1" applyBorder="1">
      <alignment vertical="center"/>
    </xf>
    <xf numFmtId="0" fontId="4" fillId="5" borderId="1" xfId="0" applyFont="1" applyFill="1" applyBorder="1" applyAlignment="1">
      <alignment vertical="center" wrapText="1"/>
    </xf>
    <xf numFmtId="174" fontId="4" fillId="5" borderId="1" xfId="0" applyNumberFormat="1" applyFont="1" applyFill="1" applyBorder="1">
      <alignment vertical="center"/>
    </xf>
    <xf numFmtId="0" fontId="5" fillId="0" borderId="1" xfId="0" applyFont="1" applyBorder="1">
      <alignment vertical="center"/>
    </xf>
    <xf numFmtId="0" fontId="5" fillId="5" borderId="1" xfId="0" applyFont="1" applyFill="1" applyBorder="1">
      <alignment vertical="center"/>
    </xf>
    <xf numFmtId="175" fontId="6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5" fontId="6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152400</xdr:colOff>
      <xdr:row>0</xdr:row>
      <xdr:rowOff>447675</xdr:rowOff>
    </xdr:to>
    <xdr:pic>
      <xdr:nvPicPr>
        <xdr:cNvPr id="4124" name="图片 1" descr="pcbway-400x400.jpg">
          <a:extLst>
            <a:ext uri="{FF2B5EF4-FFF2-40B4-BE49-F238E27FC236}">
              <a16:creationId xmlns:a16="http://schemas.microsoft.com/office/drawing/2014/main" id="{6ED2917F-35A0-4891-A77C-217902B3A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3430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1020535</xdr:colOff>
      <xdr:row>2</xdr:row>
      <xdr:rowOff>149679</xdr:rowOff>
    </xdr:from>
    <xdr:to>
      <xdr:col>24</xdr:col>
      <xdr:colOff>16314</xdr:colOff>
      <xdr:row>21</xdr:row>
      <xdr:rowOff>94564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43C5D4-42B8-4946-A1F1-609A1521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50642" y="979715"/>
          <a:ext cx="9650172" cy="4829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60"/>
  <sheetViews>
    <sheetView tabSelected="1" topLeftCell="A79" zoomScale="70" zoomScaleNormal="70" zoomScaleSheetLayoutView="100" workbookViewId="0">
      <selection activeCell="J86" sqref="J86"/>
    </sheetView>
  </sheetViews>
  <sheetFormatPr baseColWidth="10" defaultColWidth="9.125" defaultRowHeight="15"/>
  <cols>
    <col min="1" max="1" width="6.25" style="3" customWidth="1"/>
    <col min="2" max="2" width="10.25" style="3" customWidth="1"/>
    <col min="3" max="3" width="5.375" style="3" customWidth="1"/>
    <col min="4" max="4" width="12.125" style="3" customWidth="1"/>
    <col min="5" max="5" width="50" style="3" customWidth="1"/>
    <col min="6" max="6" width="34.875" style="3" customWidth="1"/>
    <col min="7" max="7" width="18" style="3" customWidth="1"/>
    <col min="8" max="8" width="12" style="3" customWidth="1"/>
    <col min="9" max="9" width="16" style="3" customWidth="1"/>
    <col min="10" max="10" width="26" style="3" customWidth="1"/>
    <col min="11" max="13" width="14" style="3" customWidth="1"/>
    <col min="14" max="14" width="27.875" style="3" customWidth="1"/>
    <col min="15" max="15" width="19.75" style="3" customWidth="1"/>
    <col min="16" max="16" width="20.625" style="3" customWidth="1"/>
    <col min="17" max="32" width="9" style="3" bestFit="1" customWidth="1"/>
    <col min="33" max="16384" width="9.125" style="3"/>
  </cols>
  <sheetData>
    <row r="1" spans="1:13" s="1" customFormat="1" ht="39.950000000000003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5"/>
    </row>
    <row r="2" spans="1:13" ht="25.7" customHeight="1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spans="1:13">
      <c r="A3" s="6">
        <v>1</v>
      </c>
      <c r="B3" s="6" t="s">
        <v>14</v>
      </c>
      <c r="C3" s="6">
        <v>8</v>
      </c>
      <c r="D3" s="6" t="s">
        <v>15</v>
      </c>
      <c r="E3" s="8" t="s">
        <v>16</v>
      </c>
      <c r="F3" s="6" t="s">
        <v>17</v>
      </c>
      <c r="G3" s="9">
        <v>2.1999999999999999E-2</v>
      </c>
      <c r="H3" s="9">
        <f t="shared" ref="H3:H25" si="0">C3*G3*5</f>
        <v>0.87999999999999989</v>
      </c>
      <c r="I3" s="6" t="s">
        <v>18</v>
      </c>
      <c r="J3" s="12" t="s">
        <v>18</v>
      </c>
      <c r="K3" s="8" t="s">
        <v>18</v>
      </c>
      <c r="L3" s="6" t="s">
        <v>18</v>
      </c>
      <c r="M3" s="6" t="s">
        <v>18</v>
      </c>
    </row>
    <row r="4" spans="1:13">
      <c r="A4" s="6">
        <v>2</v>
      </c>
      <c r="B4" s="6" t="s">
        <v>19</v>
      </c>
      <c r="C4" s="6">
        <v>4</v>
      </c>
      <c r="D4" s="6" t="s">
        <v>20</v>
      </c>
      <c r="E4" s="8" t="s">
        <v>21</v>
      </c>
      <c r="F4" s="6" t="s">
        <v>22</v>
      </c>
      <c r="G4" s="9">
        <v>3.2000000000000001E-2</v>
      </c>
      <c r="H4" s="9">
        <f t="shared" si="0"/>
        <v>0.64</v>
      </c>
      <c r="I4" s="6" t="s">
        <v>18</v>
      </c>
      <c r="J4" s="12" t="s">
        <v>18</v>
      </c>
      <c r="K4" s="8" t="s">
        <v>18</v>
      </c>
      <c r="L4" s="6" t="s">
        <v>18</v>
      </c>
      <c r="M4" s="6" t="s">
        <v>18</v>
      </c>
    </row>
    <row r="5" spans="1:13">
      <c r="A5" s="6">
        <v>3</v>
      </c>
      <c r="B5" s="6" t="s">
        <v>23</v>
      </c>
      <c r="C5" s="6">
        <v>18</v>
      </c>
      <c r="D5" s="6" t="s">
        <v>24</v>
      </c>
      <c r="E5" s="8" t="s">
        <v>25</v>
      </c>
      <c r="F5" s="6" t="s">
        <v>17</v>
      </c>
      <c r="G5" s="9">
        <v>8.2000000000000003E-2</v>
      </c>
      <c r="H5" s="9">
        <f t="shared" si="0"/>
        <v>7.38</v>
      </c>
      <c r="I5" s="6" t="s">
        <v>18</v>
      </c>
      <c r="J5" s="12" t="s">
        <v>18</v>
      </c>
      <c r="K5" s="8" t="s">
        <v>18</v>
      </c>
      <c r="L5" s="6" t="s">
        <v>18</v>
      </c>
      <c r="M5" s="6" t="s">
        <v>18</v>
      </c>
    </row>
    <row r="6" spans="1:13">
      <c r="A6" s="6">
        <v>4</v>
      </c>
      <c r="B6" s="6" t="s">
        <v>26</v>
      </c>
      <c r="C6" s="6">
        <v>38</v>
      </c>
      <c r="D6" s="6" t="s">
        <v>27</v>
      </c>
      <c r="E6" s="8" t="s">
        <v>28</v>
      </c>
      <c r="F6" s="6" t="s">
        <v>22</v>
      </c>
      <c r="G6" s="9">
        <v>3.0000000000000001E-3</v>
      </c>
      <c r="H6" s="9">
        <f t="shared" si="0"/>
        <v>0.57000000000000006</v>
      </c>
      <c r="I6" s="6" t="s">
        <v>18</v>
      </c>
      <c r="J6" s="12" t="s">
        <v>18</v>
      </c>
      <c r="K6" s="8" t="s">
        <v>18</v>
      </c>
      <c r="L6" s="6" t="s">
        <v>18</v>
      </c>
      <c r="M6" s="6" t="s">
        <v>18</v>
      </c>
    </row>
    <row r="7" spans="1:13">
      <c r="A7" s="6">
        <v>5</v>
      </c>
      <c r="B7" s="6" t="s">
        <v>29</v>
      </c>
      <c r="C7" s="6">
        <v>11</v>
      </c>
      <c r="D7" s="6" t="s">
        <v>30</v>
      </c>
      <c r="E7" s="8" t="s">
        <v>31</v>
      </c>
      <c r="F7" s="6" t="s">
        <v>22</v>
      </c>
      <c r="G7" s="9">
        <v>8.0000000000000002E-3</v>
      </c>
      <c r="H7" s="9">
        <f t="shared" si="0"/>
        <v>0.43999999999999995</v>
      </c>
      <c r="I7" s="6" t="s">
        <v>18</v>
      </c>
      <c r="J7" s="12" t="s">
        <v>18</v>
      </c>
      <c r="K7" s="8" t="s">
        <v>18</v>
      </c>
      <c r="L7" s="6" t="s">
        <v>18</v>
      </c>
      <c r="M7" s="6" t="s">
        <v>18</v>
      </c>
    </row>
    <row r="8" spans="1:13">
      <c r="A8" s="6">
        <v>6</v>
      </c>
      <c r="B8" s="6" t="s">
        <v>32</v>
      </c>
      <c r="C8" s="6">
        <v>2</v>
      </c>
      <c r="D8" s="6" t="s">
        <v>33</v>
      </c>
      <c r="E8" s="8" t="s">
        <v>34</v>
      </c>
      <c r="F8" s="6" t="s">
        <v>17</v>
      </c>
      <c r="G8" s="9">
        <v>6.7000000000000004E-2</v>
      </c>
      <c r="H8" s="9">
        <f t="shared" si="0"/>
        <v>0.67</v>
      </c>
      <c r="I8" s="6" t="s">
        <v>18</v>
      </c>
      <c r="J8" s="12" t="s">
        <v>18</v>
      </c>
      <c r="K8" s="8" t="s">
        <v>18</v>
      </c>
      <c r="L8" s="6" t="s">
        <v>18</v>
      </c>
      <c r="M8" s="6" t="s">
        <v>18</v>
      </c>
    </row>
    <row r="9" spans="1:13">
      <c r="A9" s="6">
        <v>7</v>
      </c>
      <c r="B9" s="6" t="s">
        <v>35</v>
      </c>
      <c r="C9" s="6">
        <v>2</v>
      </c>
      <c r="D9" s="6" t="s">
        <v>36</v>
      </c>
      <c r="E9" s="8" t="s">
        <v>37</v>
      </c>
      <c r="F9" s="6" t="s">
        <v>17</v>
      </c>
      <c r="G9" s="9">
        <v>9.2999999999999999E-2</v>
      </c>
      <c r="H9" s="9">
        <f t="shared" si="0"/>
        <v>0.92999999999999994</v>
      </c>
      <c r="I9" s="6" t="s">
        <v>18</v>
      </c>
      <c r="J9" s="12" t="s">
        <v>18</v>
      </c>
      <c r="K9" s="8" t="s">
        <v>18</v>
      </c>
      <c r="L9" s="6" t="s">
        <v>18</v>
      </c>
      <c r="M9" s="6" t="s">
        <v>18</v>
      </c>
    </row>
    <row r="10" spans="1:13">
      <c r="A10" s="6">
        <v>8</v>
      </c>
      <c r="B10" s="6" t="s">
        <v>38</v>
      </c>
      <c r="C10" s="6">
        <v>1</v>
      </c>
      <c r="D10" s="6" t="s">
        <v>39</v>
      </c>
      <c r="E10" s="8" t="s">
        <v>40</v>
      </c>
      <c r="F10" s="6" t="s">
        <v>17</v>
      </c>
      <c r="G10" s="9">
        <v>4.5999999999999999E-2</v>
      </c>
      <c r="H10" s="9">
        <f t="shared" si="0"/>
        <v>0.22999999999999998</v>
      </c>
      <c r="I10" s="6" t="s">
        <v>18</v>
      </c>
      <c r="J10" s="12" t="s">
        <v>18</v>
      </c>
      <c r="K10" s="8" t="s">
        <v>18</v>
      </c>
      <c r="L10" s="6" t="s">
        <v>18</v>
      </c>
      <c r="M10" s="6" t="s">
        <v>18</v>
      </c>
    </row>
    <row r="11" spans="1:13">
      <c r="A11" s="6">
        <v>9</v>
      </c>
      <c r="B11" s="6" t="s">
        <v>41</v>
      </c>
      <c r="C11" s="6">
        <v>2</v>
      </c>
      <c r="D11" s="6" t="s">
        <v>42</v>
      </c>
      <c r="E11" s="8" t="s">
        <v>43</v>
      </c>
      <c r="F11" s="6" t="s">
        <v>17</v>
      </c>
      <c r="G11" s="9">
        <v>2.3E-2</v>
      </c>
      <c r="H11" s="9">
        <f t="shared" si="0"/>
        <v>0.22999999999999998</v>
      </c>
      <c r="I11" s="6" t="s">
        <v>18</v>
      </c>
      <c r="J11" s="12" t="s">
        <v>18</v>
      </c>
      <c r="K11" s="8" t="s">
        <v>18</v>
      </c>
      <c r="L11" s="6" t="s">
        <v>18</v>
      </c>
      <c r="M11" s="6" t="s">
        <v>18</v>
      </c>
    </row>
    <row r="12" spans="1:13">
      <c r="A12" s="6">
        <v>10</v>
      </c>
      <c r="B12" s="6" t="s">
        <v>44</v>
      </c>
      <c r="C12" s="6">
        <v>1</v>
      </c>
      <c r="D12" s="6" t="s">
        <v>45</v>
      </c>
      <c r="E12" s="8" t="s">
        <v>46</v>
      </c>
      <c r="F12" s="6" t="s">
        <v>47</v>
      </c>
      <c r="G12" s="9">
        <v>0.30399999999999999</v>
      </c>
      <c r="H12" s="9">
        <f t="shared" si="0"/>
        <v>1.52</v>
      </c>
      <c r="I12" s="6" t="s">
        <v>18</v>
      </c>
      <c r="J12" s="12" t="s">
        <v>18</v>
      </c>
      <c r="K12" s="8" t="s">
        <v>18</v>
      </c>
      <c r="L12" s="6" t="s">
        <v>18</v>
      </c>
      <c r="M12" s="6" t="s">
        <v>18</v>
      </c>
    </row>
    <row r="13" spans="1:13" s="2" customFormat="1" ht="114.75">
      <c r="A13" s="7">
        <v>11</v>
      </c>
      <c r="B13" s="7" t="s">
        <v>48</v>
      </c>
      <c r="C13" s="7">
        <v>6</v>
      </c>
      <c r="D13" s="7" t="s">
        <v>49</v>
      </c>
      <c r="E13" s="10" t="s">
        <v>50</v>
      </c>
      <c r="F13" s="7" t="s">
        <v>51</v>
      </c>
      <c r="G13" s="11">
        <v>0.52400000000000002</v>
      </c>
      <c r="H13" s="11">
        <f t="shared" si="0"/>
        <v>15.72</v>
      </c>
      <c r="I13" s="7" t="s">
        <v>18</v>
      </c>
      <c r="J13" s="13" t="s">
        <v>18</v>
      </c>
      <c r="K13" s="10" t="s">
        <v>52</v>
      </c>
      <c r="L13" s="7" t="s">
        <v>18</v>
      </c>
      <c r="M13" s="10" t="s">
        <v>297</v>
      </c>
    </row>
    <row r="14" spans="1:13">
      <c r="A14" s="6">
        <v>12</v>
      </c>
      <c r="B14" s="6" t="s">
        <v>53</v>
      </c>
      <c r="C14" s="6">
        <v>3</v>
      </c>
      <c r="D14" s="6" t="s">
        <v>54</v>
      </c>
      <c r="E14" s="8" t="s">
        <v>55</v>
      </c>
      <c r="F14" s="6" t="s">
        <v>22</v>
      </c>
      <c r="G14" s="9">
        <v>0.04</v>
      </c>
      <c r="H14" s="9">
        <f t="shared" si="0"/>
        <v>0.6</v>
      </c>
      <c r="I14" s="6" t="s">
        <v>18</v>
      </c>
      <c r="J14" s="12" t="s">
        <v>18</v>
      </c>
      <c r="K14" s="8" t="s">
        <v>18</v>
      </c>
      <c r="L14" s="6" t="s">
        <v>18</v>
      </c>
      <c r="M14" s="6" t="s">
        <v>18</v>
      </c>
    </row>
    <row r="15" spans="1:13">
      <c r="A15" s="6">
        <v>13</v>
      </c>
      <c r="B15" s="6" t="s">
        <v>56</v>
      </c>
      <c r="C15" s="6">
        <v>1</v>
      </c>
      <c r="D15" s="6" t="s">
        <v>57</v>
      </c>
      <c r="E15" s="8" t="s">
        <v>58</v>
      </c>
      <c r="F15" s="6" t="s">
        <v>22</v>
      </c>
      <c r="G15" s="9">
        <v>4.8000000000000001E-2</v>
      </c>
      <c r="H15" s="9">
        <f t="shared" si="0"/>
        <v>0.24</v>
      </c>
      <c r="I15" s="6" t="s">
        <v>18</v>
      </c>
      <c r="J15" s="12" t="s">
        <v>18</v>
      </c>
      <c r="K15" s="8" t="s">
        <v>18</v>
      </c>
      <c r="L15" s="6" t="s">
        <v>18</v>
      </c>
      <c r="M15" s="6" t="s">
        <v>18</v>
      </c>
    </row>
    <row r="16" spans="1:13">
      <c r="A16" s="6">
        <v>14</v>
      </c>
      <c r="B16" s="6" t="s">
        <v>59</v>
      </c>
      <c r="C16" s="6">
        <v>2</v>
      </c>
      <c r="D16" s="6" t="s">
        <v>60</v>
      </c>
      <c r="E16" s="8" t="s">
        <v>61</v>
      </c>
      <c r="F16" s="6" t="s">
        <v>22</v>
      </c>
      <c r="G16" s="9">
        <v>5.0000000000000001E-3</v>
      </c>
      <c r="H16" s="9">
        <f t="shared" si="0"/>
        <v>0.05</v>
      </c>
      <c r="I16" s="6" t="s">
        <v>18</v>
      </c>
      <c r="J16" s="12" t="s">
        <v>18</v>
      </c>
      <c r="K16" s="8" t="s">
        <v>18</v>
      </c>
      <c r="L16" s="6" t="s">
        <v>18</v>
      </c>
      <c r="M16" s="6" t="s">
        <v>18</v>
      </c>
    </row>
    <row r="17" spans="1:13">
      <c r="A17" s="6">
        <v>15</v>
      </c>
      <c r="B17" s="6" t="s">
        <v>62</v>
      </c>
      <c r="C17" s="6">
        <v>5</v>
      </c>
      <c r="D17" s="6" t="s">
        <v>63</v>
      </c>
      <c r="E17" s="8" t="s">
        <v>28</v>
      </c>
      <c r="F17" s="6" t="s">
        <v>22</v>
      </c>
      <c r="G17" s="9">
        <v>1.7999999999999999E-2</v>
      </c>
      <c r="H17" s="9">
        <f t="shared" si="0"/>
        <v>0.44999999999999996</v>
      </c>
      <c r="I17" s="6" t="s">
        <v>18</v>
      </c>
      <c r="J17" s="12" t="s">
        <v>18</v>
      </c>
      <c r="K17" s="8" t="s">
        <v>18</v>
      </c>
      <c r="L17" s="6" t="s">
        <v>18</v>
      </c>
      <c r="M17" s="6" t="s">
        <v>18</v>
      </c>
    </row>
    <row r="18" spans="1:13">
      <c r="A18" s="6">
        <v>16</v>
      </c>
      <c r="B18" s="6" t="s">
        <v>64</v>
      </c>
      <c r="C18" s="6">
        <v>2</v>
      </c>
      <c r="D18" s="6" t="s">
        <v>65</v>
      </c>
      <c r="E18" s="8" t="s">
        <v>66</v>
      </c>
      <c r="F18" s="6" t="s">
        <v>22</v>
      </c>
      <c r="G18" s="9">
        <v>5.8000000000000003E-2</v>
      </c>
      <c r="H18" s="9">
        <f t="shared" si="0"/>
        <v>0.58000000000000007</v>
      </c>
      <c r="I18" s="6" t="s">
        <v>18</v>
      </c>
      <c r="J18" s="12" t="s">
        <v>18</v>
      </c>
      <c r="K18" s="8" t="s">
        <v>18</v>
      </c>
      <c r="L18" s="6" t="s">
        <v>18</v>
      </c>
      <c r="M18" s="6" t="s">
        <v>18</v>
      </c>
    </row>
    <row r="19" spans="1:13">
      <c r="A19" s="6">
        <v>17</v>
      </c>
      <c r="B19" s="6" t="s">
        <v>67</v>
      </c>
      <c r="C19" s="6">
        <v>2</v>
      </c>
      <c r="D19" s="6" t="s">
        <v>68</v>
      </c>
      <c r="E19" s="8" t="s">
        <v>69</v>
      </c>
      <c r="F19" s="6" t="s">
        <v>22</v>
      </c>
      <c r="G19" s="9">
        <v>3.6999999999999998E-2</v>
      </c>
      <c r="H19" s="9">
        <f t="shared" si="0"/>
        <v>0.37</v>
      </c>
      <c r="I19" s="6" t="s">
        <v>18</v>
      </c>
      <c r="J19" s="12" t="s">
        <v>18</v>
      </c>
      <c r="K19" s="8" t="s">
        <v>18</v>
      </c>
      <c r="L19" s="6" t="s">
        <v>18</v>
      </c>
      <c r="M19" s="6" t="s">
        <v>18</v>
      </c>
    </row>
    <row r="20" spans="1:13">
      <c r="A20" s="6">
        <v>18</v>
      </c>
      <c r="B20" s="6" t="s">
        <v>70</v>
      </c>
      <c r="C20" s="6">
        <v>1</v>
      </c>
      <c r="D20" s="6" t="s">
        <v>71</v>
      </c>
      <c r="E20" s="8" t="s">
        <v>50</v>
      </c>
      <c r="F20" s="6" t="s">
        <v>72</v>
      </c>
      <c r="G20" s="9">
        <v>1.718</v>
      </c>
      <c r="H20" s="9">
        <f t="shared" si="0"/>
        <v>8.59</v>
      </c>
      <c r="I20" s="6" t="s">
        <v>18</v>
      </c>
      <c r="J20" s="12" t="s">
        <v>18</v>
      </c>
      <c r="K20" s="8" t="s">
        <v>18</v>
      </c>
      <c r="L20" s="6" t="s">
        <v>18</v>
      </c>
      <c r="M20" s="6" t="s">
        <v>18</v>
      </c>
    </row>
    <row r="21" spans="1:13">
      <c r="A21" s="6">
        <v>19</v>
      </c>
      <c r="B21" s="6" t="s">
        <v>73</v>
      </c>
      <c r="C21" s="6">
        <v>1</v>
      </c>
      <c r="D21" s="6" t="s">
        <v>74</v>
      </c>
      <c r="E21" s="8" t="s">
        <v>75</v>
      </c>
      <c r="F21" s="6" t="s">
        <v>76</v>
      </c>
      <c r="G21" s="9">
        <v>0.115</v>
      </c>
      <c r="H21" s="9">
        <f t="shared" si="0"/>
        <v>0.57500000000000007</v>
      </c>
      <c r="I21" s="6" t="s">
        <v>18</v>
      </c>
      <c r="J21" s="12" t="s">
        <v>18</v>
      </c>
      <c r="K21" s="8" t="s">
        <v>18</v>
      </c>
      <c r="L21" s="6" t="s">
        <v>18</v>
      </c>
      <c r="M21" s="6" t="s">
        <v>18</v>
      </c>
    </row>
    <row r="22" spans="1:13">
      <c r="A22" s="6">
        <v>20</v>
      </c>
      <c r="B22" s="6" t="s">
        <v>77</v>
      </c>
      <c r="C22" s="6">
        <v>1</v>
      </c>
      <c r="D22" s="6" t="s">
        <v>78</v>
      </c>
      <c r="E22" s="8" t="s">
        <v>79</v>
      </c>
      <c r="F22" s="6" t="s">
        <v>76</v>
      </c>
      <c r="G22" s="9">
        <v>0.112</v>
      </c>
      <c r="H22" s="9">
        <f t="shared" si="0"/>
        <v>0.56000000000000005</v>
      </c>
      <c r="I22" s="6" t="s">
        <v>18</v>
      </c>
      <c r="J22" s="12" t="s">
        <v>18</v>
      </c>
      <c r="K22" s="8" t="s">
        <v>18</v>
      </c>
      <c r="L22" s="6" t="s">
        <v>18</v>
      </c>
      <c r="M22" s="6" t="s">
        <v>18</v>
      </c>
    </row>
    <row r="23" spans="1:13">
      <c r="A23" s="6">
        <v>21</v>
      </c>
      <c r="B23" s="6" t="s">
        <v>80</v>
      </c>
      <c r="C23" s="6">
        <v>1</v>
      </c>
      <c r="D23" s="6" t="s">
        <v>81</v>
      </c>
      <c r="E23" s="8" t="s">
        <v>82</v>
      </c>
      <c r="F23" s="6" t="s">
        <v>76</v>
      </c>
      <c r="G23" s="9">
        <v>7.2999999999999995E-2</v>
      </c>
      <c r="H23" s="9">
        <f t="shared" si="0"/>
        <v>0.36499999999999999</v>
      </c>
      <c r="I23" s="6" t="s">
        <v>18</v>
      </c>
      <c r="J23" s="12" t="s">
        <v>18</v>
      </c>
      <c r="K23" s="8" t="s">
        <v>18</v>
      </c>
      <c r="L23" s="6" t="s">
        <v>18</v>
      </c>
      <c r="M23" s="6" t="s">
        <v>18</v>
      </c>
    </row>
    <row r="24" spans="1:13" ht="38.25">
      <c r="A24" s="6">
        <v>22</v>
      </c>
      <c r="B24" s="6" t="s">
        <v>83</v>
      </c>
      <c r="C24" s="6">
        <v>3</v>
      </c>
      <c r="D24" s="6" t="s">
        <v>84</v>
      </c>
      <c r="E24" s="8" t="s">
        <v>84</v>
      </c>
      <c r="F24" s="6" t="s">
        <v>85</v>
      </c>
      <c r="G24" s="9">
        <v>7.9000000000000001E-2</v>
      </c>
      <c r="H24" s="9">
        <f t="shared" si="0"/>
        <v>1.1850000000000001</v>
      </c>
      <c r="I24" s="6" t="s">
        <v>18</v>
      </c>
      <c r="J24" s="12" t="s">
        <v>18</v>
      </c>
      <c r="K24" s="8" t="s">
        <v>86</v>
      </c>
      <c r="L24" s="6" t="s">
        <v>18</v>
      </c>
      <c r="M24" s="6" t="s">
        <v>18</v>
      </c>
    </row>
    <row r="25" spans="1:13">
      <c r="A25" s="6">
        <v>23</v>
      </c>
      <c r="B25" s="6" t="s">
        <v>87</v>
      </c>
      <c r="C25" s="6">
        <v>1</v>
      </c>
      <c r="D25" s="6" t="s">
        <v>88</v>
      </c>
      <c r="E25" s="8" t="s">
        <v>89</v>
      </c>
      <c r="F25" s="6" t="s">
        <v>76</v>
      </c>
      <c r="G25" s="9">
        <v>0.126</v>
      </c>
      <c r="H25" s="9">
        <f t="shared" si="0"/>
        <v>0.63</v>
      </c>
      <c r="I25" s="6" t="s">
        <v>18</v>
      </c>
      <c r="J25" s="12" t="s">
        <v>18</v>
      </c>
      <c r="K25" s="8" t="s">
        <v>18</v>
      </c>
      <c r="L25" s="6" t="s">
        <v>18</v>
      </c>
      <c r="M25" s="6" t="s">
        <v>18</v>
      </c>
    </row>
    <row r="26" spans="1:13">
      <c r="A26" s="6">
        <v>24</v>
      </c>
      <c r="B26" s="6" t="s">
        <v>90</v>
      </c>
      <c r="C26" s="6">
        <v>1</v>
      </c>
      <c r="D26" s="6" t="s">
        <v>91</v>
      </c>
      <c r="E26" s="8" t="s">
        <v>92</v>
      </c>
      <c r="F26" s="6" t="s">
        <v>93</v>
      </c>
      <c r="G26" s="9">
        <v>1.044</v>
      </c>
      <c r="H26" s="9">
        <f>G26*10</f>
        <v>10.440000000000001</v>
      </c>
      <c r="I26" s="6" t="s">
        <v>18</v>
      </c>
      <c r="J26" s="12" t="s">
        <v>18</v>
      </c>
      <c r="K26" s="8" t="s">
        <v>94</v>
      </c>
      <c r="L26" s="6" t="s">
        <v>18</v>
      </c>
      <c r="M26" s="6" t="s">
        <v>18</v>
      </c>
    </row>
    <row r="27" spans="1:13">
      <c r="A27" s="6">
        <v>25</v>
      </c>
      <c r="B27" s="6" t="s">
        <v>95</v>
      </c>
      <c r="C27" s="6">
        <v>2</v>
      </c>
      <c r="D27" s="6" t="s">
        <v>96</v>
      </c>
      <c r="E27" s="8" t="s">
        <v>97</v>
      </c>
      <c r="F27" s="6" t="s">
        <v>98</v>
      </c>
      <c r="G27" s="9">
        <v>8.6999999999999994E-2</v>
      </c>
      <c r="H27" s="9">
        <f t="shared" ref="H27:H82" si="1">C27*G27*5</f>
        <v>0.86999999999999988</v>
      </c>
      <c r="I27" s="6" t="s">
        <v>18</v>
      </c>
      <c r="J27" s="12" t="s">
        <v>18</v>
      </c>
      <c r="K27" s="8" t="s">
        <v>18</v>
      </c>
      <c r="L27" s="6" t="s">
        <v>18</v>
      </c>
      <c r="M27" s="6" t="s">
        <v>18</v>
      </c>
    </row>
    <row r="28" spans="1:13">
      <c r="A28" s="6">
        <v>26</v>
      </c>
      <c r="B28" s="6" t="s">
        <v>99</v>
      </c>
      <c r="C28" s="6">
        <v>1</v>
      </c>
      <c r="D28" s="6" t="s">
        <v>100</v>
      </c>
      <c r="E28" s="8" t="s">
        <v>100</v>
      </c>
      <c r="F28" s="6" t="s">
        <v>101</v>
      </c>
      <c r="G28" s="9">
        <v>0.96599999999999997</v>
      </c>
      <c r="H28" s="9">
        <f t="shared" si="1"/>
        <v>4.83</v>
      </c>
      <c r="I28" s="6" t="s">
        <v>18</v>
      </c>
      <c r="J28" s="12" t="s">
        <v>18</v>
      </c>
      <c r="K28" s="8" t="s">
        <v>18</v>
      </c>
      <c r="L28" s="6" t="s">
        <v>18</v>
      </c>
      <c r="M28" s="6" t="s">
        <v>18</v>
      </c>
    </row>
    <row r="29" spans="1:13">
      <c r="A29" s="6">
        <v>27</v>
      </c>
      <c r="B29" s="6" t="s">
        <v>102</v>
      </c>
      <c r="C29" s="6">
        <v>1</v>
      </c>
      <c r="D29" s="6" t="s">
        <v>103</v>
      </c>
      <c r="E29" s="8" t="s">
        <v>104</v>
      </c>
      <c r="F29" s="6" t="s">
        <v>105</v>
      </c>
      <c r="G29" s="9">
        <v>1.7110000000000001</v>
      </c>
      <c r="H29" s="9">
        <f t="shared" si="1"/>
        <v>8.5549999999999997</v>
      </c>
      <c r="I29" s="6" t="s">
        <v>18</v>
      </c>
      <c r="J29" s="12" t="s">
        <v>18</v>
      </c>
      <c r="K29" s="8" t="s">
        <v>18</v>
      </c>
      <c r="L29" s="6" t="s">
        <v>18</v>
      </c>
      <c r="M29" s="6" t="s">
        <v>18</v>
      </c>
    </row>
    <row r="30" spans="1:13">
      <c r="A30" s="6">
        <v>28</v>
      </c>
      <c r="B30" s="6" t="s">
        <v>106</v>
      </c>
      <c r="C30" s="6">
        <v>1</v>
      </c>
      <c r="D30" s="6" t="s">
        <v>107</v>
      </c>
      <c r="E30" s="8" t="s">
        <v>108</v>
      </c>
      <c r="F30" s="6" t="s">
        <v>109</v>
      </c>
      <c r="G30" s="9">
        <v>0.20699999999999999</v>
      </c>
      <c r="H30" s="9">
        <f t="shared" si="1"/>
        <v>1.0349999999999999</v>
      </c>
      <c r="I30" s="6" t="s">
        <v>18</v>
      </c>
      <c r="J30" s="12" t="s">
        <v>110</v>
      </c>
      <c r="K30" s="8" t="s">
        <v>18</v>
      </c>
      <c r="L30" s="6" t="s">
        <v>18</v>
      </c>
      <c r="M30" s="6" t="s">
        <v>18</v>
      </c>
    </row>
    <row r="31" spans="1:13">
      <c r="A31" s="6">
        <v>29</v>
      </c>
      <c r="B31" s="6" t="s">
        <v>111</v>
      </c>
      <c r="C31" s="6">
        <v>2</v>
      </c>
      <c r="D31" s="6" t="s">
        <v>112</v>
      </c>
      <c r="E31" s="8" t="s">
        <v>113</v>
      </c>
      <c r="F31" s="6" t="s">
        <v>114</v>
      </c>
      <c r="G31" s="9">
        <v>0.39800000000000002</v>
      </c>
      <c r="H31" s="9">
        <f t="shared" si="1"/>
        <v>3.9800000000000004</v>
      </c>
      <c r="I31" s="6" t="s">
        <v>18</v>
      </c>
      <c r="J31" s="12" t="s">
        <v>18</v>
      </c>
      <c r="K31" s="8" t="s">
        <v>18</v>
      </c>
      <c r="L31" s="6" t="s">
        <v>18</v>
      </c>
      <c r="M31" s="6" t="s">
        <v>18</v>
      </c>
    </row>
    <row r="32" spans="1:13">
      <c r="A32" s="6">
        <v>30</v>
      </c>
      <c r="B32" s="6" t="s">
        <v>115</v>
      </c>
      <c r="C32" s="6">
        <v>2</v>
      </c>
      <c r="D32" s="6" t="s">
        <v>116</v>
      </c>
      <c r="E32" s="8" t="s">
        <v>117</v>
      </c>
      <c r="F32" s="6" t="s">
        <v>118</v>
      </c>
      <c r="G32" s="9">
        <v>0.16200000000000001</v>
      </c>
      <c r="H32" s="9">
        <f t="shared" si="1"/>
        <v>1.62</v>
      </c>
      <c r="I32" s="6" t="s">
        <v>18</v>
      </c>
      <c r="J32" s="12" t="s">
        <v>18</v>
      </c>
      <c r="K32" s="8" t="s">
        <v>18</v>
      </c>
      <c r="L32" s="6" t="s">
        <v>18</v>
      </c>
      <c r="M32" s="6" t="s">
        <v>18</v>
      </c>
    </row>
    <row r="33" spans="1:13">
      <c r="A33" s="6">
        <v>31</v>
      </c>
      <c r="B33" s="6" t="s">
        <v>119</v>
      </c>
      <c r="C33" s="6">
        <v>1</v>
      </c>
      <c r="D33" s="6" t="s">
        <v>120</v>
      </c>
      <c r="E33" s="8" t="s">
        <v>121</v>
      </c>
      <c r="F33" s="6" t="s">
        <v>122</v>
      </c>
      <c r="G33" s="9">
        <v>1.2290000000000001</v>
      </c>
      <c r="H33" s="9">
        <f t="shared" si="1"/>
        <v>6.1450000000000005</v>
      </c>
      <c r="I33" s="6" t="s">
        <v>18</v>
      </c>
      <c r="J33" s="12" t="s">
        <v>18</v>
      </c>
      <c r="K33" s="8" t="s">
        <v>18</v>
      </c>
      <c r="L33" s="6" t="s">
        <v>18</v>
      </c>
      <c r="M33" s="6" t="s">
        <v>18</v>
      </c>
    </row>
    <row r="34" spans="1:13" ht="25.5">
      <c r="A34" s="6">
        <v>32</v>
      </c>
      <c r="B34" s="6" t="s">
        <v>123</v>
      </c>
      <c r="C34" s="6">
        <v>2</v>
      </c>
      <c r="D34" s="6" t="s">
        <v>124</v>
      </c>
      <c r="E34" s="8" t="s">
        <v>125</v>
      </c>
      <c r="F34" s="6" t="s">
        <v>126</v>
      </c>
      <c r="G34" s="9">
        <v>0.01</v>
      </c>
      <c r="H34" s="9">
        <f t="shared" si="1"/>
        <v>0.1</v>
      </c>
      <c r="I34" s="6" t="s">
        <v>18</v>
      </c>
      <c r="J34" s="12" t="s">
        <v>18</v>
      </c>
      <c r="K34" s="8" t="s">
        <v>127</v>
      </c>
      <c r="L34" s="6" t="s">
        <v>18</v>
      </c>
      <c r="M34" s="6" t="s">
        <v>18</v>
      </c>
    </row>
    <row r="35" spans="1:13">
      <c r="A35" s="6">
        <v>33</v>
      </c>
      <c r="B35" s="6" t="s">
        <v>128</v>
      </c>
      <c r="C35" s="6">
        <v>1</v>
      </c>
      <c r="D35" s="6" t="s">
        <v>129</v>
      </c>
      <c r="E35" s="8" t="s">
        <v>129</v>
      </c>
      <c r="F35" s="6" t="s">
        <v>130</v>
      </c>
      <c r="G35" s="9">
        <v>2.4239999999999999</v>
      </c>
      <c r="H35" s="9">
        <f t="shared" si="1"/>
        <v>12.12</v>
      </c>
      <c r="I35" s="6" t="s">
        <v>131</v>
      </c>
      <c r="J35" s="12" t="s">
        <v>18</v>
      </c>
      <c r="K35" s="8" t="s">
        <v>18</v>
      </c>
      <c r="L35" s="6" t="s">
        <v>18</v>
      </c>
      <c r="M35" s="6" t="s">
        <v>18</v>
      </c>
    </row>
    <row r="36" spans="1:13">
      <c r="A36" s="6">
        <v>34</v>
      </c>
      <c r="B36" s="6" t="s">
        <v>132</v>
      </c>
      <c r="C36" s="6">
        <v>1</v>
      </c>
      <c r="D36" s="6" t="s">
        <v>133</v>
      </c>
      <c r="E36" s="8" t="s">
        <v>133</v>
      </c>
      <c r="F36" s="6" t="s">
        <v>126</v>
      </c>
      <c r="G36" s="9">
        <v>0.13</v>
      </c>
      <c r="H36" s="9">
        <f t="shared" si="1"/>
        <v>0.65</v>
      </c>
      <c r="I36" s="6" t="s">
        <v>18</v>
      </c>
      <c r="J36" s="12" t="s">
        <v>18</v>
      </c>
      <c r="K36" s="8" t="s">
        <v>18</v>
      </c>
      <c r="L36" s="6" t="s">
        <v>18</v>
      </c>
      <c r="M36" s="6" t="s">
        <v>18</v>
      </c>
    </row>
    <row r="37" spans="1:13" ht="25.5">
      <c r="A37" s="6">
        <v>35</v>
      </c>
      <c r="B37" s="6" t="s">
        <v>134</v>
      </c>
      <c r="C37" s="6">
        <v>1</v>
      </c>
      <c r="D37" s="6" t="s">
        <v>135</v>
      </c>
      <c r="E37" s="8" t="s">
        <v>135</v>
      </c>
      <c r="F37" s="6" t="s">
        <v>126</v>
      </c>
      <c r="G37" s="9">
        <v>0.128</v>
      </c>
      <c r="H37" s="9">
        <f t="shared" si="1"/>
        <v>0.64</v>
      </c>
      <c r="I37" s="6" t="s">
        <v>18</v>
      </c>
      <c r="J37" s="12" t="s">
        <v>18</v>
      </c>
      <c r="K37" s="8" t="s">
        <v>136</v>
      </c>
      <c r="L37" s="6" t="s">
        <v>18</v>
      </c>
      <c r="M37" s="6" t="s">
        <v>18</v>
      </c>
    </row>
    <row r="38" spans="1:13">
      <c r="A38" s="6">
        <v>36</v>
      </c>
      <c r="B38" s="6" t="s">
        <v>137</v>
      </c>
      <c r="C38" s="6">
        <v>2</v>
      </c>
      <c r="D38" s="6" t="s">
        <v>138</v>
      </c>
      <c r="E38" s="8" t="s">
        <v>138</v>
      </c>
      <c r="F38" s="6" t="s">
        <v>139</v>
      </c>
      <c r="G38" s="9">
        <v>0.186</v>
      </c>
      <c r="H38" s="9">
        <f t="shared" si="1"/>
        <v>1.8599999999999999</v>
      </c>
      <c r="I38" s="6" t="s">
        <v>18</v>
      </c>
      <c r="J38" s="12" t="s">
        <v>18</v>
      </c>
      <c r="K38" s="8" t="s">
        <v>18</v>
      </c>
      <c r="L38" s="6" t="s">
        <v>18</v>
      </c>
      <c r="M38" s="6" t="s">
        <v>18</v>
      </c>
    </row>
    <row r="39" spans="1:13">
      <c r="A39" s="6">
        <v>37</v>
      </c>
      <c r="B39" s="6" t="s">
        <v>140</v>
      </c>
      <c r="C39" s="6">
        <v>5</v>
      </c>
      <c r="D39" s="6" t="s">
        <v>141</v>
      </c>
      <c r="E39" s="8" t="s">
        <v>142</v>
      </c>
      <c r="F39" s="6" t="s">
        <v>143</v>
      </c>
      <c r="G39" s="9">
        <v>4.0000000000000001E-3</v>
      </c>
      <c r="H39" s="9">
        <f t="shared" si="1"/>
        <v>0.1</v>
      </c>
      <c r="I39" s="6" t="s">
        <v>18</v>
      </c>
      <c r="J39" s="12" t="s">
        <v>144</v>
      </c>
      <c r="K39" s="8" t="s">
        <v>18</v>
      </c>
      <c r="L39" s="6" t="s">
        <v>18</v>
      </c>
      <c r="M39" s="6" t="s">
        <v>18</v>
      </c>
    </row>
    <row r="40" spans="1:13">
      <c r="A40" s="6">
        <v>38</v>
      </c>
      <c r="B40" s="6" t="s">
        <v>145</v>
      </c>
      <c r="C40" s="6">
        <v>2</v>
      </c>
      <c r="D40" s="6" t="s">
        <v>146</v>
      </c>
      <c r="E40" s="8" t="s">
        <v>147</v>
      </c>
      <c r="F40" s="6" t="s">
        <v>143</v>
      </c>
      <c r="G40" s="9">
        <v>2E-3</v>
      </c>
      <c r="H40" s="9">
        <f t="shared" si="1"/>
        <v>0.02</v>
      </c>
      <c r="I40" s="6" t="s">
        <v>18</v>
      </c>
      <c r="J40" s="12" t="s">
        <v>18</v>
      </c>
      <c r="K40" s="8" t="s">
        <v>18</v>
      </c>
      <c r="L40" s="6" t="s">
        <v>18</v>
      </c>
      <c r="M40" s="6" t="s">
        <v>18</v>
      </c>
    </row>
    <row r="41" spans="1:13">
      <c r="A41" s="6">
        <v>39</v>
      </c>
      <c r="B41" s="6" t="s">
        <v>148</v>
      </c>
      <c r="C41" s="6">
        <v>4</v>
      </c>
      <c r="D41" s="6" t="s">
        <v>149</v>
      </c>
      <c r="E41" s="8" t="s">
        <v>150</v>
      </c>
      <c r="F41" s="6" t="s">
        <v>143</v>
      </c>
      <c r="G41" s="9">
        <v>4.0000000000000001E-3</v>
      </c>
      <c r="H41" s="9">
        <f t="shared" si="1"/>
        <v>0.08</v>
      </c>
      <c r="I41" s="6" t="s">
        <v>18</v>
      </c>
      <c r="J41" s="12" t="s">
        <v>18</v>
      </c>
      <c r="K41" s="8" t="s">
        <v>18</v>
      </c>
      <c r="L41" s="6" t="s">
        <v>18</v>
      </c>
      <c r="M41" s="6" t="s">
        <v>18</v>
      </c>
    </row>
    <row r="42" spans="1:13">
      <c r="A42" s="6">
        <v>40</v>
      </c>
      <c r="B42" s="6" t="s">
        <v>151</v>
      </c>
      <c r="C42" s="6">
        <v>2</v>
      </c>
      <c r="D42" s="6" t="s">
        <v>152</v>
      </c>
      <c r="E42" s="8" t="s">
        <v>153</v>
      </c>
      <c r="F42" s="6" t="s">
        <v>154</v>
      </c>
      <c r="G42" s="9">
        <v>5.8999999999999997E-2</v>
      </c>
      <c r="H42" s="9">
        <f t="shared" si="1"/>
        <v>0.59</v>
      </c>
      <c r="I42" s="6" t="s">
        <v>18</v>
      </c>
      <c r="J42" s="12" t="s">
        <v>18</v>
      </c>
      <c r="K42" s="8" t="s">
        <v>18</v>
      </c>
      <c r="L42" s="6" t="s">
        <v>18</v>
      </c>
      <c r="M42" s="6" t="s">
        <v>18</v>
      </c>
    </row>
    <row r="43" spans="1:13">
      <c r="A43" s="6">
        <v>41</v>
      </c>
      <c r="B43" s="6" t="s">
        <v>155</v>
      </c>
      <c r="C43" s="6">
        <v>11</v>
      </c>
      <c r="D43" s="6" t="s">
        <v>156</v>
      </c>
      <c r="E43" s="8" t="s">
        <v>157</v>
      </c>
      <c r="F43" s="6" t="s">
        <v>158</v>
      </c>
      <c r="G43" s="9">
        <v>1.6E-2</v>
      </c>
      <c r="H43" s="9">
        <f t="shared" si="1"/>
        <v>0.87999999999999989</v>
      </c>
      <c r="I43" s="6" t="s">
        <v>18</v>
      </c>
      <c r="J43" s="12" t="s">
        <v>18</v>
      </c>
      <c r="K43" s="8" t="s">
        <v>18</v>
      </c>
      <c r="L43" s="6" t="s">
        <v>18</v>
      </c>
      <c r="M43" s="6" t="s">
        <v>18</v>
      </c>
    </row>
    <row r="44" spans="1:13">
      <c r="A44" s="6">
        <v>42</v>
      </c>
      <c r="B44" s="6" t="s">
        <v>159</v>
      </c>
      <c r="C44" s="6">
        <v>4</v>
      </c>
      <c r="D44" s="6" t="s">
        <v>160</v>
      </c>
      <c r="E44" s="8" t="s">
        <v>161</v>
      </c>
      <c r="F44" s="6" t="s">
        <v>154</v>
      </c>
      <c r="G44" s="9">
        <v>2.1000000000000001E-2</v>
      </c>
      <c r="H44" s="9">
        <f t="shared" si="1"/>
        <v>0.42000000000000004</v>
      </c>
      <c r="I44" s="6" t="s">
        <v>18</v>
      </c>
      <c r="J44" s="12" t="s">
        <v>18</v>
      </c>
      <c r="K44" s="8" t="s">
        <v>18</v>
      </c>
      <c r="L44" s="6" t="s">
        <v>18</v>
      </c>
      <c r="M44" s="6" t="s">
        <v>18</v>
      </c>
    </row>
    <row r="45" spans="1:13">
      <c r="A45" s="6">
        <v>43</v>
      </c>
      <c r="B45" s="6" t="s">
        <v>162</v>
      </c>
      <c r="C45" s="6">
        <v>1</v>
      </c>
      <c r="D45" s="6" t="s">
        <v>163</v>
      </c>
      <c r="E45" s="8" t="s">
        <v>164</v>
      </c>
      <c r="F45" s="6" t="s">
        <v>154</v>
      </c>
      <c r="G45" s="9">
        <v>6.0000000000000001E-3</v>
      </c>
      <c r="H45" s="9">
        <f t="shared" si="1"/>
        <v>0.03</v>
      </c>
      <c r="I45" s="6" t="s">
        <v>18</v>
      </c>
      <c r="J45" s="12" t="s">
        <v>18</v>
      </c>
      <c r="K45" s="8" t="s">
        <v>18</v>
      </c>
      <c r="L45" s="6" t="s">
        <v>18</v>
      </c>
      <c r="M45" s="6" t="s">
        <v>18</v>
      </c>
    </row>
    <row r="46" spans="1:13">
      <c r="A46" s="6">
        <v>44</v>
      </c>
      <c r="B46" s="6" t="s">
        <v>165</v>
      </c>
      <c r="C46" s="6">
        <v>7</v>
      </c>
      <c r="D46" s="6" t="s">
        <v>166</v>
      </c>
      <c r="E46" s="8" t="s">
        <v>167</v>
      </c>
      <c r="F46" s="6" t="s">
        <v>154</v>
      </c>
      <c r="G46" s="9">
        <v>2E-3</v>
      </c>
      <c r="H46" s="9">
        <f t="shared" si="1"/>
        <v>7.0000000000000007E-2</v>
      </c>
      <c r="I46" s="6" t="s">
        <v>18</v>
      </c>
      <c r="J46" s="12" t="s">
        <v>18</v>
      </c>
      <c r="K46" s="8" t="s">
        <v>18</v>
      </c>
      <c r="L46" s="6" t="s">
        <v>18</v>
      </c>
      <c r="M46" s="6" t="s">
        <v>18</v>
      </c>
    </row>
    <row r="47" spans="1:13">
      <c r="A47" s="6">
        <v>45</v>
      </c>
      <c r="B47" s="6" t="s">
        <v>168</v>
      </c>
      <c r="C47" s="6">
        <v>1</v>
      </c>
      <c r="D47" s="6" t="s">
        <v>169</v>
      </c>
      <c r="E47" s="8" t="s">
        <v>170</v>
      </c>
      <c r="F47" s="6" t="s">
        <v>154</v>
      </c>
      <c r="G47" s="9">
        <v>3.1E-2</v>
      </c>
      <c r="H47" s="9">
        <f t="shared" si="1"/>
        <v>0.155</v>
      </c>
      <c r="I47" s="6" t="s">
        <v>18</v>
      </c>
      <c r="J47" s="12" t="s">
        <v>18</v>
      </c>
      <c r="K47" s="8" t="s">
        <v>18</v>
      </c>
      <c r="L47" s="6" t="s">
        <v>18</v>
      </c>
      <c r="M47" s="6" t="s">
        <v>18</v>
      </c>
    </row>
    <row r="48" spans="1:13">
      <c r="A48" s="6">
        <v>46</v>
      </c>
      <c r="B48" s="6" t="s">
        <v>171</v>
      </c>
      <c r="C48" s="6">
        <v>7</v>
      </c>
      <c r="D48" s="6" t="s">
        <v>172</v>
      </c>
      <c r="E48" s="8" t="s">
        <v>173</v>
      </c>
      <c r="F48" s="6" t="s">
        <v>154</v>
      </c>
      <c r="G48" s="9">
        <v>1.7999999999999999E-2</v>
      </c>
      <c r="H48" s="9">
        <f t="shared" si="1"/>
        <v>0.63</v>
      </c>
      <c r="I48" s="6" t="s">
        <v>18</v>
      </c>
      <c r="J48" s="12" t="s">
        <v>18</v>
      </c>
      <c r="K48" s="8" t="s">
        <v>18</v>
      </c>
      <c r="L48" s="6" t="s">
        <v>18</v>
      </c>
      <c r="M48" s="6" t="s">
        <v>18</v>
      </c>
    </row>
    <row r="49" spans="1:13">
      <c r="A49" s="6">
        <v>47</v>
      </c>
      <c r="B49" s="6" t="s">
        <v>174</v>
      </c>
      <c r="C49" s="6">
        <v>4</v>
      </c>
      <c r="D49" s="6" t="s">
        <v>175</v>
      </c>
      <c r="E49" s="8" t="s">
        <v>176</v>
      </c>
      <c r="F49" s="6" t="s">
        <v>154</v>
      </c>
      <c r="G49" s="9">
        <v>3.0000000000000001E-3</v>
      </c>
      <c r="H49" s="9">
        <f t="shared" si="1"/>
        <v>0.06</v>
      </c>
      <c r="I49" s="6" t="s">
        <v>18</v>
      </c>
      <c r="J49" s="12" t="s">
        <v>18</v>
      </c>
      <c r="K49" s="8" t="s">
        <v>18</v>
      </c>
      <c r="L49" s="6" t="s">
        <v>18</v>
      </c>
      <c r="M49" s="6" t="s">
        <v>18</v>
      </c>
    </row>
    <row r="50" spans="1:13">
      <c r="A50" s="6">
        <v>48</v>
      </c>
      <c r="B50" s="6" t="s">
        <v>177</v>
      </c>
      <c r="C50" s="6">
        <v>2</v>
      </c>
      <c r="D50" s="6" t="s">
        <v>178</v>
      </c>
      <c r="E50" s="8" t="s">
        <v>179</v>
      </c>
      <c r="F50" s="6" t="s">
        <v>154</v>
      </c>
      <c r="G50" s="9">
        <v>3.4000000000000002E-2</v>
      </c>
      <c r="H50" s="9">
        <f t="shared" si="1"/>
        <v>0.34</v>
      </c>
      <c r="I50" s="6" t="s">
        <v>18</v>
      </c>
      <c r="J50" s="12" t="s">
        <v>18</v>
      </c>
      <c r="K50" s="8" t="s">
        <v>18</v>
      </c>
      <c r="L50" s="6" t="s">
        <v>18</v>
      </c>
      <c r="M50" s="6" t="s">
        <v>18</v>
      </c>
    </row>
    <row r="51" spans="1:13">
      <c r="A51" s="6">
        <v>49</v>
      </c>
      <c r="B51" s="6" t="s">
        <v>180</v>
      </c>
      <c r="C51" s="6">
        <v>4</v>
      </c>
      <c r="D51" s="6" t="s">
        <v>181</v>
      </c>
      <c r="E51" s="8" t="s">
        <v>182</v>
      </c>
      <c r="F51" s="6" t="s">
        <v>154</v>
      </c>
      <c r="G51" s="9">
        <v>4.3999999999999997E-2</v>
      </c>
      <c r="H51" s="9">
        <f t="shared" si="1"/>
        <v>0.87999999999999989</v>
      </c>
      <c r="I51" s="6" t="s">
        <v>18</v>
      </c>
      <c r="J51" s="12" t="s">
        <v>18</v>
      </c>
      <c r="K51" s="8" t="s">
        <v>18</v>
      </c>
      <c r="L51" s="6" t="s">
        <v>18</v>
      </c>
      <c r="M51" s="6" t="s">
        <v>18</v>
      </c>
    </row>
    <row r="52" spans="1:13">
      <c r="A52" s="6">
        <v>50</v>
      </c>
      <c r="B52" s="6" t="s">
        <v>183</v>
      </c>
      <c r="C52" s="6">
        <v>1</v>
      </c>
      <c r="D52" s="6" t="s">
        <v>184</v>
      </c>
      <c r="E52" s="8" t="s">
        <v>185</v>
      </c>
      <c r="F52" s="6" t="s">
        <v>158</v>
      </c>
      <c r="G52" s="9">
        <v>0.38700000000000001</v>
      </c>
      <c r="H52" s="9">
        <f t="shared" si="1"/>
        <v>1.9350000000000001</v>
      </c>
      <c r="I52" s="6" t="s">
        <v>18</v>
      </c>
      <c r="J52" s="12" t="s">
        <v>18</v>
      </c>
      <c r="K52" s="8" t="s">
        <v>18</v>
      </c>
      <c r="L52" s="6" t="s">
        <v>18</v>
      </c>
      <c r="M52" s="6" t="s">
        <v>18</v>
      </c>
    </row>
    <row r="53" spans="1:13">
      <c r="A53" s="6">
        <v>51</v>
      </c>
      <c r="B53" s="6" t="s">
        <v>186</v>
      </c>
      <c r="C53" s="6">
        <v>1</v>
      </c>
      <c r="D53" s="6" t="s">
        <v>187</v>
      </c>
      <c r="E53" s="8" t="s">
        <v>188</v>
      </c>
      <c r="F53" s="6" t="s">
        <v>154</v>
      </c>
      <c r="G53" s="9">
        <v>0.113</v>
      </c>
      <c r="H53" s="9">
        <f t="shared" si="1"/>
        <v>0.56500000000000006</v>
      </c>
      <c r="I53" s="6" t="s">
        <v>18</v>
      </c>
      <c r="J53" s="12" t="s">
        <v>18</v>
      </c>
      <c r="K53" s="8" t="s">
        <v>18</v>
      </c>
      <c r="L53" s="6" t="s">
        <v>18</v>
      </c>
      <c r="M53" s="6" t="s">
        <v>18</v>
      </c>
    </row>
    <row r="54" spans="1:13">
      <c r="A54" s="6">
        <v>52</v>
      </c>
      <c r="B54" s="6" t="s">
        <v>189</v>
      </c>
      <c r="C54" s="6">
        <v>1</v>
      </c>
      <c r="D54" s="6" t="s">
        <v>190</v>
      </c>
      <c r="E54" s="8" t="s">
        <v>191</v>
      </c>
      <c r="F54" s="6" t="s">
        <v>192</v>
      </c>
      <c r="G54" s="9">
        <v>0.53300000000000003</v>
      </c>
      <c r="H54" s="9">
        <f t="shared" si="1"/>
        <v>2.665</v>
      </c>
      <c r="I54" s="6" t="s">
        <v>18</v>
      </c>
      <c r="J54" s="12" t="s">
        <v>18</v>
      </c>
      <c r="K54" s="8" t="s">
        <v>18</v>
      </c>
      <c r="L54" s="6" t="s">
        <v>18</v>
      </c>
      <c r="M54" s="6" t="s">
        <v>18</v>
      </c>
    </row>
    <row r="55" spans="1:13">
      <c r="A55" s="6">
        <v>53</v>
      </c>
      <c r="B55" s="6" t="s">
        <v>193</v>
      </c>
      <c r="C55" s="6">
        <v>1</v>
      </c>
      <c r="D55" s="6" t="s">
        <v>194</v>
      </c>
      <c r="E55" s="8" t="s">
        <v>195</v>
      </c>
      <c r="F55" s="6" t="s">
        <v>154</v>
      </c>
      <c r="G55" s="9">
        <v>8.0000000000000002E-3</v>
      </c>
      <c r="H55" s="9">
        <f t="shared" si="1"/>
        <v>0.04</v>
      </c>
      <c r="I55" s="6" t="s">
        <v>18</v>
      </c>
      <c r="J55" s="12" t="s">
        <v>18</v>
      </c>
      <c r="K55" s="8" t="s">
        <v>18</v>
      </c>
      <c r="L55" s="6" t="s">
        <v>18</v>
      </c>
      <c r="M55" s="6" t="s">
        <v>18</v>
      </c>
    </row>
    <row r="56" spans="1:13">
      <c r="A56" s="6">
        <v>54</v>
      </c>
      <c r="B56" s="6" t="s">
        <v>196</v>
      </c>
      <c r="C56" s="6">
        <v>2</v>
      </c>
      <c r="D56" s="6" t="s">
        <v>197</v>
      </c>
      <c r="E56" s="8" t="s">
        <v>198</v>
      </c>
      <c r="F56" s="6" t="s">
        <v>154</v>
      </c>
      <c r="G56" s="9">
        <v>4.0000000000000001E-3</v>
      </c>
      <c r="H56" s="9">
        <f t="shared" si="1"/>
        <v>0.04</v>
      </c>
      <c r="I56" s="6" t="s">
        <v>18</v>
      </c>
      <c r="J56" s="12" t="s">
        <v>18</v>
      </c>
      <c r="K56" s="8" t="s">
        <v>18</v>
      </c>
      <c r="L56" s="6" t="s">
        <v>18</v>
      </c>
      <c r="M56" s="6" t="s">
        <v>18</v>
      </c>
    </row>
    <row r="57" spans="1:13">
      <c r="A57" s="6">
        <v>55</v>
      </c>
      <c r="B57" s="6" t="s">
        <v>199</v>
      </c>
      <c r="C57" s="6">
        <v>13</v>
      </c>
      <c r="D57" s="6" t="s">
        <v>200</v>
      </c>
      <c r="E57" s="8" t="s">
        <v>157</v>
      </c>
      <c r="F57" s="6" t="s">
        <v>154</v>
      </c>
      <c r="G57" s="9">
        <v>1E-3</v>
      </c>
      <c r="H57" s="9">
        <f t="shared" si="1"/>
        <v>6.5000000000000002E-2</v>
      </c>
      <c r="I57" s="6" t="s">
        <v>18</v>
      </c>
      <c r="J57" s="12" t="s">
        <v>18</v>
      </c>
      <c r="K57" s="8" t="s">
        <v>18</v>
      </c>
      <c r="L57" s="6" t="s">
        <v>18</v>
      </c>
      <c r="M57" s="6" t="s">
        <v>18</v>
      </c>
    </row>
    <row r="58" spans="1:13">
      <c r="A58" s="6">
        <v>56</v>
      </c>
      <c r="B58" s="6" t="s">
        <v>201</v>
      </c>
      <c r="C58" s="6">
        <v>1</v>
      </c>
      <c r="D58" s="6" t="s">
        <v>202</v>
      </c>
      <c r="E58" s="8" t="s">
        <v>203</v>
      </c>
      <c r="F58" s="6" t="s">
        <v>143</v>
      </c>
      <c r="G58" s="9">
        <v>3.5999999999999997E-2</v>
      </c>
      <c r="H58" s="9">
        <f t="shared" si="1"/>
        <v>0.18</v>
      </c>
      <c r="I58" s="6" t="s">
        <v>18</v>
      </c>
      <c r="J58" s="12" t="s">
        <v>18</v>
      </c>
      <c r="K58" s="8" t="s">
        <v>18</v>
      </c>
      <c r="L58" s="6" t="s">
        <v>18</v>
      </c>
      <c r="M58" s="6" t="s">
        <v>18</v>
      </c>
    </row>
    <row r="59" spans="1:13">
      <c r="A59" s="6">
        <v>57</v>
      </c>
      <c r="B59" s="6" t="s">
        <v>204</v>
      </c>
      <c r="C59" s="6">
        <v>1</v>
      </c>
      <c r="D59" s="6" t="s">
        <v>205</v>
      </c>
      <c r="E59" s="8" t="s">
        <v>206</v>
      </c>
      <c r="F59" s="6" t="s">
        <v>143</v>
      </c>
      <c r="G59" s="9">
        <v>2.3E-2</v>
      </c>
      <c r="H59" s="9">
        <f t="shared" si="1"/>
        <v>0.11499999999999999</v>
      </c>
      <c r="I59" s="6" t="s">
        <v>18</v>
      </c>
      <c r="J59" s="12" t="s">
        <v>18</v>
      </c>
      <c r="K59" s="8" t="s">
        <v>18</v>
      </c>
      <c r="L59" s="6" t="s">
        <v>18</v>
      </c>
      <c r="M59" s="6" t="s">
        <v>18</v>
      </c>
    </row>
    <row r="60" spans="1:13">
      <c r="A60" s="6">
        <v>58</v>
      </c>
      <c r="B60" s="6" t="s">
        <v>207</v>
      </c>
      <c r="C60" s="6">
        <v>1</v>
      </c>
      <c r="D60" s="6" t="s">
        <v>208</v>
      </c>
      <c r="E60" s="8" t="s">
        <v>209</v>
      </c>
      <c r="F60" s="6" t="s">
        <v>143</v>
      </c>
      <c r="G60" s="9">
        <v>4.0000000000000001E-3</v>
      </c>
      <c r="H60" s="9">
        <f t="shared" si="1"/>
        <v>0.02</v>
      </c>
      <c r="I60" s="6" t="s">
        <v>18</v>
      </c>
      <c r="J60" s="12" t="s">
        <v>18</v>
      </c>
      <c r="K60" s="8" t="s">
        <v>18</v>
      </c>
      <c r="L60" s="6" t="s">
        <v>18</v>
      </c>
      <c r="M60" s="6" t="s">
        <v>18</v>
      </c>
    </row>
    <row r="61" spans="1:13">
      <c r="A61" s="6">
        <v>59</v>
      </c>
      <c r="B61" s="6" t="s">
        <v>210</v>
      </c>
      <c r="C61" s="6">
        <v>1</v>
      </c>
      <c r="D61" s="6" t="s">
        <v>211</v>
      </c>
      <c r="E61" s="8" t="s">
        <v>211</v>
      </c>
      <c r="F61" s="6" t="s">
        <v>212</v>
      </c>
      <c r="G61" s="9">
        <v>0.63200000000000001</v>
      </c>
      <c r="H61" s="9">
        <f t="shared" si="1"/>
        <v>3.16</v>
      </c>
      <c r="I61" s="6" t="s">
        <v>18</v>
      </c>
      <c r="J61" s="12" t="s">
        <v>213</v>
      </c>
      <c r="K61" s="8" t="s">
        <v>18</v>
      </c>
      <c r="L61" s="6" t="s">
        <v>18</v>
      </c>
      <c r="M61" s="6" t="s">
        <v>18</v>
      </c>
    </row>
    <row r="62" spans="1:13">
      <c r="A62" s="6">
        <v>60</v>
      </c>
      <c r="B62" s="6" t="s">
        <v>214</v>
      </c>
      <c r="C62" s="6">
        <v>1</v>
      </c>
      <c r="D62" s="6" t="s">
        <v>215</v>
      </c>
      <c r="E62" s="8" t="s">
        <v>215</v>
      </c>
      <c r="F62" s="6" t="s">
        <v>216</v>
      </c>
      <c r="G62" s="9">
        <v>1.288</v>
      </c>
      <c r="H62" s="9">
        <f t="shared" si="1"/>
        <v>6.44</v>
      </c>
      <c r="I62" s="6" t="s">
        <v>18</v>
      </c>
      <c r="J62" s="12" t="s">
        <v>18</v>
      </c>
      <c r="K62" s="8" t="s">
        <v>18</v>
      </c>
      <c r="L62" s="6" t="s">
        <v>18</v>
      </c>
      <c r="M62" s="6" t="s">
        <v>18</v>
      </c>
    </row>
    <row r="63" spans="1:13">
      <c r="A63" s="6">
        <v>61</v>
      </c>
      <c r="B63" s="6" t="s">
        <v>217</v>
      </c>
      <c r="C63" s="6">
        <v>1</v>
      </c>
      <c r="D63" s="6" t="s">
        <v>218</v>
      </c>
      <c r="E63" s="8" t="s">
        <v>219</v>
      </c>
      <c r="F63" s="6" t="s">
        <v>220</v>
      </c>
      <c r="G63" s="9">
        <v>0.14599999999999999</v>
      </c>
      <c r="H63" s="9">
        <f t="shared" si="1"/>
        <v>0.73</v>
      </c>
      <c r="I63" s="6" t="s">
        <v>18</v>
      </c>
      <c r="J63" s="12" t="s">
        <v>221</v>
      </c>
      <c r="K63" s="8" t="s">
        <v>18</v>
      </c>
      <c r="L63" s="6" t="s">
        <v>18</v>
      </c>
      <c r="M63" s="6" t="s">
        <v>18</v>
      </c>
    </row>
    <row r="64" spans="1:13">
      <c r="A64" s="6">
        <v>62</v>
      </c>
      <c r="B64" s="6" t="s">
        <v>222</v>
      </c>
      <c r="C64" s="6">
        <v>1</v>
      </c>
      <c r="D64" s="6" t="s">
        <v>223</v>
      </c>
      <c r="E64" s="8" t="s">
        <v>167</v>
      </c>
      <c r="F64" s="6" t="s">
        <v>143</v>
      </c>
      <c r="G64" s="9">
        <v>0.10199999999999999</v>
      </c>
      <c r="H64" s="9">
        <f t="shared" si="1"/>
        <v>0.51</v>
      </c>
      <c r="I64" s="6" t="s">
        <v>18</v>
      </c>
      <c r="J64" s="12" t="s">
        <v>18</v>
      </c>
      <c r="K64" s="8" t="s">
        <v>18</v>
      </c>
      <c r="L64" s="6" t="s">
        <v>18</v>
      </c>
      <c r="M64" s="6" t="s">
        <v>18</v>
      </c>
    </row>
    <row r="65" spans="1:13">
      <c r="A65" s="6">
        <v>63</v>
      </c>
      <c r="B65" s="6" t="s">
        <v>224</v>
      </c>
      <c r="C65" s="6">
        <v>17</v>
      </c>
      <c r="D65" s="6" t="s">
        <v>225</v>
      </c>
      <c r="E65" s="8" t="s">
        <v>226</v>
      </c>
      <c r="F65" s="6" t="s">
        <v>227</v>
      </c>
      <c r="G65" s="9">
        <v>0.161</v>
      </c>
      <c r="H65" s="9">
        <f t="shared" si="1"/>
        <v>13.685</v>
      </c>
      <c r="I65" s="6" t="s">
        <v>131</v>
      </c>
      <c r="J65" s="12" t="s">
        <v>18</v>
      </c>
      <c r="K65" s="8" t="s">
        <v>18</v>
      </c>
      <c r="L65" s="6" t="s">
        <v>18</v>
      </c>
      <c r="M65" s="6" t="s">
        <v>18</v>
      </c>
    </row>
    <row r="66" spans="1:13">
      <c r="A66" s="6">
        <v>64</v>
      </c>
      <c r="B66" s="6" t="s">
        <v>228</v>
      </c>
      <c r="C66" s="6">
        <v>7</v>
      </c>
      <c r="D66" s="6" t="s">
        <v>229</v>
      </c>
      <c r="E66" s="8" t="s">
        <v>230</v>
      </c>
      <c r="F66" s="6" t="s">
        <v>231</v>
      </c>
      <c r="G66" s="9">
        <v>0.23799999999999999</v>
      </c>
      <c r="H66" s="9">
        <f t="shared" si="1"/>
        <v>8.33</v>
      </c>
      <c r="I66" s="6" t="s">
        <v>18</v>
      </c>
      <c r="J66" s="12" t="s">
        <v>18</v>
      </c>
      <c r="K66" s="8"/>
      <c r="L66" s="6" t="s">
        <v>18</v>
      </c>
      <c r="M66" s="6" t="s">
        <v>18</v>
      </c>
    </row>
    <row r="67" spans="1:13">
      <c r="A67" s="6">
        <v>65</v>
      </c>
      <c r="B67" s="6" t="s">
        <v>232</v>
      </c>
      <c r="C67" s="6">
        <v>1</v>
      </c>
      <c r="D67" s="6" t="s">
        <v>233</v>
      </c>
      <c r="E67" s="8" t="s">
        <v>233</v>
      </c>
      <c r="F67" s="6" t="s">
        <v>234</v>
      </c>
      <c r="G67" s="9">
        <v>3.9239999999999999</v>
      </c>
      <c r="H67" s="9">
        <f t="shared" si="1"/>
        <v>19.62</v>
      </c>
      <c r="I67" s="6" t="s">
        <v>18</v>
      </c>
      <c r="J67" s="12" t="s">
        <v>18</v>
      </c>
      <c r="K67" s="8" t="s">
        <v>18</v>
      </c>
      <c r="L67" s="6" t="s">
        <v>18</v>
      </c>
      <c r="M67" s="6" t="s">
        <v>18</v>
      </c>
    </row>
    <row r="68" spans="1:13">
      <c r="A68" s="6">
        <v>66</v>
      </c>
      <c r="B68" s="6" t="s">
        <v>235</v>
      </c>
      <c r="C68" s="6">
        <v>1</v>
      </c>
      <c r="D68" s="6" t="s">
        <v>236</v>
      </c>
      <c r="E68" s="8" t="s">
        <v>237</v>
      </c>
      <c r="F68" s="6" t="s">
        <v>238</v>
      </c>
      <c r="G68" s="9">
        <v>2.194</v>
      </c>
      <c r="H68" s="9">
        <f t="shared" si="1"/>
        <v>10.969999999999999</v>
      </c>
      <c r="I68" s="6" t="s">
        <v>18</v>
      </c>
      <c r="J68" s="12" t="s">
        <v>18</v>
      </c>
      <c r="K68" s="8" t="s">
        <v>18</v>
      </c>
      <c r="L68" s="6" t="s">
        <v>18</v>
      </c>
      <c r="M68" s="6" t="s">
        <v>18</v>
      </c>
    </row>
    <row r="69" spans="1:13" s="2" customFormat="1" ht="76.5">
      <c r="A69" s="7">
        <v>67</v>
      </c>
      <c r="B69" s="7" t="s">
        <v>239</v>
      </c>
      <c r="C69" s="7">
        <v>1</v>
      </c>
      <c r="D69" s="7" t="s">
        <v>240</v>
      </c>
      <c r="E69" s="10" t="s">
        <v>241</v>
      </c>
      <c r="F69" s="7" t="s">
        <v>242</v>
      </c>
      <c r="G69" s="11">
        <v>1.107</v>
      </c>
      <c r="H69" s="11">
        <f t="shared" si="1"/>
        <v>5.5350000000000001</v>
      </c>
      <c r="I69" s="7" t="s">
        <v>18</v>
      </c>
      <c r="J69" s="13" t="s">
        <v>18</v>
      </c>
      <c r="K69" s="10" t="s">
        <v>243</v>
      </c>
      <c r="L69" s="7" t="s">
        <v>18</v>
      </c>
      <c r="M69" s="10" t="s">
        <v>297</v>
      </c>
    </row>
    <row r="70" spans="1:13">
      <c r="A70" s="6">
        <v>68</v>
      </c>
      <c r="B70" s="6" t="s">
        <v>244</v>
      </c>
      <c r="C70" s="6">
        <v>1</v>
      </c>
      <c r="D70" s="6" t="s">
        <v>245</v>
      </c>
      <c r="E70" s="8" t="s">
        <v>246</v>
      </c>
      <c r="F70" s="6" t="s">
        <v>247</v>
      </c>
      <c r="G70" s="9">
        <v>1.534</v>
      </c>
      <c r="H70" s="9">
        <f t="shared" si="1"/>
        <v>7.67</v>
      </c>
      <c r="I70" s="6" t="s">
        <v>18</v>
      </c>
      <c r="J70" s="12" t="s">
        <v>18</v>
      </c>
      <c r="K70" s="8" t="s">
        <v>18</v>
      </c>
      <c r="L70" s="6" t="s">
        <v>18</v>
      </c>
      <c r="M70" s="6" t="s">
        <v>18</v>
      </c>
    </row>
    <row r="71" spans="1:13">
      <c r="A71" s="6">
        <v>69</v>
      </c>
      <c r="B71" s="6" t="s">
        <v>248</v>
      </c>
      <c r="C71" s="6">
        <v>1</v>
      </c>
      <c r="D71" s="6" t="s">
        <v>249</v>
      </c>
      <c r="E71" s="8" t="s">
        <v>249</v>
      </c>
      <c r="F71" s="6" t="s">
        <v>250</v>
      </c>
      <c r="G71" s="9">
        <v>0.36699999999999999</v>
      </c>
      <c r="H71" s="9">
        <f t="shared" si="1"/>
        <v>1.835</v>
      </c>
      <c r="I71" s="6" t="s">
        <v>18</v>
      </c>
      <c r="J71" s="12" t="s">
        <v>18</v>
      </c>
      <c r="K71" s="8" t="s">
        <v>18</v>
      </c>
      <c r="L71" s="6" t="s">
        <v>18</v>
      </c>
      <c r="M71" s="6" t="s">
        <v>18</v>
      </c>
    </row>
    <row r="72" spans="1:13" s="2" customFormat="1" ht="51">
      <c r="A72" s="7">
        <v>70</v>
      </c>
      <c r="B72" s="7" t="s">
        <v>251</v>
      </c>
      <c r="C72" s="7">
        <v>1</v>
      </c>
      <c r="D72" s="7" t="s">
        <v>252</v>
      </c>
      <c r="E72" s="10" t="s">
        <v>252</v>
      </c>
      <c r="F72" s="7" t="s">
        <v>253</v>
      </c>
      <c r="G72" s="11">
        <v>4.5890000000000004</v>
      </c>
      <c r="H72" s="11">
        <f t="shared" si="1"/>
        <v>22.945</v>
      </c>
      <c r="I72" s="7" t="s">
        <v>18</v>
      </c>
      <c r="J72" s="13" t="s">
        <v>18</v>
      </c>
      <c r="K72" s="10" t="s">
        <v>254</v>
      </c>
      <c r="L72" s="7" t="s">
        <v>18</v>
      </c>
      <c r="M72" s="10" t="s">
        <v>298</v>
      </c>
    </row>
    <row r="73" spans="1:13">
      <c r="A73" s="6">
        <v>71</v>
      </c>
      <c r="B73" s="6" t="s">
        <v>255</v>
      </c>
      <c r="C73" s="6">
        <v>1</v>
      </c>
      <c r="D73" s="6" t="s">
        <v>256</v>
      </c>
      <c r="E73" s="8" t="s">
        <v>256</v>
      </c>
      <c r="F73" s="6" t="s">
        <v>257</v>
      </c>
      <c r="G73" s="9">
        <v>0.22900000000000001</v>
      </c>
      <c r="H73" s="9">
        <f t="shared" si="1"/>
        <v>1.145</v>
      </c>
      <c r="I73" s="6" t="s">
        <v>18</v>
      </c>
      <c r="J73" s="12" t="s">
        <v>18</v>
      </c>
      <c r="K73" s="8" t="s">
        <v>18</v>
      </c>
      <c r="L73" s="6" t="s">
        <v>18</v>
      </c>
      <c r="M73" s="6" t="s">
        <v>18</v>
      </c>
    </row>
    <row r="74" spans="1:13">
      <c r="A74" s="6">
        <v>72</v>
      </c>
      <c r="B74" s="6" t="s">
        <v>258</v>
      </c>
      <c r="C74" s="6">
        <v>2</v>
      </c>
      <c r="D74" s="6" t="s">
        <v>259</v>
      </c>
      <c r="E74" s="8" t="s">
        <v>259</v>
      </c>
      <c r="F74" s="6" t="s">
        <v>260</v>
      </c>
      <c r="G74" s="9">
        <v>1.6910000000000001</v>
      </c>
      <c r="H74" s="9">
        <f t="shared" si="1"/>
        <v>16.91</v>
      </c>
      <c r="I74" s="6" t="s">
        <v>18</v>
      </c>
      <c r="J74" s="12" t="s">
        <v>18</v>
      </c>
      <c r="K74" s="8" t="s">
        <v>18</v>
      </c>
      <c r="L74" s="6" t="s">
        <v>18</v>
      </c>
      <c r="M74" s="6" t="s">
        <v>18</v>
      </c>
    </row>
    <row r="75" spans="1:13">
      <c r="A75" s="6">
        <v>73</v>
      </c>
      <c r="B75" s="6" t="s">
        <v>261</v>
      </c>
      <c r="C75" s="6">
        <v>1</v>
      </c>
      <c r="D75" s="6" t="s">
        <v>262</v>
      </c>
      <c r="E75" s="8" t="s">
        <v>263</v>
      </c>
      <c r="F75" s="6" t="s">
        <v>264</v>
      </c>
      <c r="G75" s="9">
        <v>3.2970000000000002</v>
      </c>
      <c r="H75" s="9">
        <f t="shared" si="1"/>
        <v>16.484999999999999</v>
      </c>
      <c r="I75" s="6" t="s">
        <v>18</v>
      </c>
      <c r="J75" s="12" t="s">
        <v>263</v>
      </c>
      <c r="K75" s="8" t="s">
        <v>18</v>
      </c>
      <c r="L75" s="6" t="s">
        <v>18</v>
      </c>
      <c r="M75" s="6" t="s">
        <v>18</v>
      </c>
    </row>
    <row r="76" spans="1:13">
      <c r="A76" s="6">
        <v>74</v>
      </c>
      <c r="B76" s="6" t="s">
        <v>265</v>
      </c>
      <c r="C76" s="6">
        <v>1</v>
      </c>
      <c r="D76" s="6" t="s">
        <v>266</v>
      </c>
      <c r="E76" s="8" t="s">
        <v>267</v>
      </c>
      <c r="F76" s="6" t="s">
        <v>268</v>
      </c>
      <c r="G76" s="9">
        <v>0.13600000000000001</v>
      </c>
      <c r="H76" s="9">
        <f t="shared" si="1"/>
        <v>0.68</v>
      </c>
      <c r="I76" s="6" t="s">
        <v>18</v>
      </c>
      <c r="J76" s="12" t="s">
        <v>269</v>
      </c>
      <c r="K76" s="8" t="s">
        <v>18</v>
      </c>
      <c r="L76" s="6" t="s">
        <v>18</v>
      </c>
      <c r="M76" s="6" t="s">
        <v>18</v>
      </c>
    </row>
    <row r="77" spans="1:13">
      <c r="A77" s="6">
        <v>75</v>
      </c>
      <c r="B77" s="6" t="s">
        <v>270</v>
      </c>
      <c r="C77" s="6">
        <v>1</v>
      </c>
      <c r="D77" s="6" t="s">
        <v>271</v>
      </c>
      <c r="E77" s="8" t="s">
        <v>271</v>
      </c>
      <c r="F77" s="6" t="s">
        <v>272</v>
      </c>
      <c r="G77" s="9">
        <v>1.3080000000000001</v>
      </c>
      <c r="H77" s="9">
        <f t="shared" si="1"/>
        <v>6.54</v>
      </c>
      <c r="I77" s="6" t="s">
        <v>18</v>
      </c>
      <c r="J77" s="12" t="s">
        <v>18</v>
      </c>
      <c r="K77" s="8" t="s">
        <v>18</v>
      </c>
      <c r="L77" s="6" t="s">
        <v>18</v>
      </c>
      <c r="M77" s="6" t="s">
        <v>18</v>
      </c>
    </row>
    <row r="78" spans="1:13">
      <c r="A78" s="6">
        <v>76</v>
      </c>
      <c r="B78" s="6" t="s">
        <v>273</v>
      </c>
      <c r="C78" s="6">
        <v>1</v>
      </c>
      <c r="D78" s="6" t="s">
        <v>274</v>
      </c>
      <c r="E78" s="8" t="s">
        <v>274</v>
      </c>
      <c r="F78" s="6" t="s">
        <v>275</v>
      </c>
      <c r="G78" s="9">
        <v>7.8879999999999999</v>
      </c>
      <c r="H78" s="9">
        <f t="shared" si="1"/>
        <v>39.44</v>
      </c>
      <c r="I78" s="6" t="s">
        <v>18</v>
      </c>
      <c r="J78" s="12" t="s">
        <v>18</v>
      </c>
      <c r="K78" s="8" t="s">
        <v>18</v>
      </c>
      <c r="L78" s="6" t="s">
        <v>18</v>
      </c>
      <c r="M78" s="6" t="s">
        <v>18</v>
      </c>
    </row>
    <row r="79" spans="1:13">
      <c r="A79" s="6">
        <v>77</v>
      </c>
      <c r="B79" s="6" t="s">
        <v>276</v>
      </c>
      <c r="C79" s="6">
        <v>1</v>
      </c>
      <c r="D79" s="6" t="s">
        <v>277</v>
      </c>
      <c r="E79" s="8" t="s">
        <v>277</v>
      </c>
      <c r="F79" s="6" t="s">
        <v>278</v>
      </c>
      <c r="G79" s="9">
        <v>2.2189999999999999</v>
      </c>
      <c r="H79" s="9">
        <f t="shared" si="1"/>
        <v>11.094999999999999</v>
      </c>
      <c r="I79" s="6" t="s">
        <v>131</v>
      </c>
      <c r="J79" s="12" t="s">
        <v>18</v>
      </c>
      <c r="K79" s="8" t="s">
        <v>18</v>
      </c>
      <c r="L79" s="6" t="s">
        <v>18</v>
      </c>
      <c r="M79" s="6" t="s">
        <v>18</v>
      </c>
    </row>
    <row r="80" spans="1:13">
      <c r="A80" s="6">
        <v>78</v>
      </c>
      <c r="B80" s="6" t="s">
        <v>279</v>
      </c>
      <c r="C80" s="6">
        <v>1</v>
      </c>
      <c r="D80" s="6" t="s">
        <v>280</v>
      </c>
      <c r="E80" s="8" t="s">
        <v>281</v>
      </c>
      <c r="F80" s="6" t="s">
        <v>282</v>
      </c>
      <c r="G80" s="9">
        <v>0.62</v>
      </c>
      <c r="H80" s="9">
        <f t="shared" si="1"/>
        <v>3.1</v>
      </c>
      <c r="I80" s="6" t="s">
        <v>18</v>
      </c>
      <c r="J80" s="12" t="s">
        <v>18</v>
      </c>
      <c r="K80" s="8" t="s">
        <v>18</v>
      </c>
      <c r="L80" s="6" t="s">
        <v>18</v>
      </c>
      <c r="M80" s="6" t="s">
        <v>18</v>
      </c>
    </row>
    <row r="81" spans="1:50" s="2" customFormat="1" ht="140.25">
      <c r="A81" s="7">
        <v>79</v>
      </c>
      <c r="B81" s="7" t="s">
        <v>283</v>
      </c>
      <c r="C81" s="7">
        <v>4</v>
      </c>
      <c r="D81" s="7" t="s">
        <v>284</v>
      </c>
      <c r="E81" s="10" t="s">
        <v>285</v>
      </c>
      <c r="F81" s="7" t="s">
        <v>286</v>
      </c>
      <c r="G81" s="11">
        <v>9.6000000000000002E-2</v>
      </c>
      <c r="H81" s="11">
        <f t="shared" si="1"/>
        <v>1.92</v>
      </c>
      <c r="I81" s="7" t="s">
        <v>18</v>
      </c>
      <c r="J81" s="13" t="s">
        <v>18</v>
      </c>
      <c r="K81" s="10" t="s">
        <v>287</v>
      </c>
      <c r="L81" s="7" t="s">
        <v>18</v>
      </c>
      <c r="M81" s="10" t="s">
        <v>297</v>
      </c>
    </row>
    <row r="82" spans="1:50" s="2" customFormat="1" ht="204">
      <c r="A82" s="7">
        <v>80</v>
      </c>
      <c r="B82" s="7" t="s">
        <v>288</v>
      </c>
      <c r="C82" s="7">
        <v>1</v>
      </c>
      <c r="D82" s="7" t="s">
        <v>289</v>
      </c>
      <c r="E82" s="10" t="s">
        <v>289</v>
      </c>
      <c r="F82" s="7" t="s">
        <v>290</v>
      </c>
      <c r="G82" s="11">
        <v>0.45</v>
      </c>
      <c r="H82" s="11">
        <f t="shared" si="1"/>
        <v>2.25</v>
      </c>
      <c r="I82" s="7" t="s">
        <v>18</v>
      </c>
      <c r="J82" s="13" t="s">
        <v>18</v>
      </c>
      <c r="K82" s="10" t="s">
        <v>291</v>
      </c>
      <c r="L82" s="7" t="s">
        <v>18</v>
      </c>
      <c r="M82" s="10" t="s">
        <v>297</v>
      </c>
    </row>
    <row r="83" spans="1:50">
      <c r="G83" s="6" t="s">
        <v>292</v>
      </c>
      <c r="H83" s="14">
        <f>SUM(H3:H82)</f>
        <v>307.12500000000006</v>
      </c>
    </row>
    <row r="84" spans="1:50">
      <c r="G84" s="6" t="s">
        <v>293</v>
      </c>
      <c r="H84" s="14">
        <v>380.36</v>
      </c>
    </row>
    <row r="85" spans="1:50">
      <c r="G85" s="6" t="s">
        <v>294</v>
      </c>
      <c r="H85" s="14">
        <v>393.05</v>
      </c>
    </row>
    <row r="86" spans="1:50">
      <c r="G86" s="6" t="s">
        <v>295</v>
      </c>
      <c r="H86" s="14">
        <f>0*SUM(H84:H85)</f>
        <v>0</v>
      </c>
    </row>
    <row r="87" spans="1:50">
      <c r="G87" s="6" t="s">
        <v>296</v>
      </c>
      <c r="H87" s="17">
        <f>SUM(H83:H86)</f>
        <v>1080.5350000000001</v>
      </c>
    </row>
    <row r="88" spans="1:50">
      <c r="A88" s="3" t="s">
        <v>18</v>
      </c>
    </row>
    <row r="89" spans="1:5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spans="1:5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spans="1:5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spans="1:5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spans="1:5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spans="1:5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spans="1:5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spans="1:5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spans="1:5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spans="1:5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spans="1:5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spans="1:5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spans="1:5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spans="1:5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spans="1:5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spans="1:5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spans="1:5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spans="1:5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spans="1:5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spans="1:5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spans="1:5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spans="1:5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spans="1:5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spans="1:5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spans="1:5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spans="1:5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spans="1:5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spans="1:5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spans="1:5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spans="1:5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spans="1:5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spans="1:5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spans="1:5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spans="1:5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spans="1:5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spans="1:5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spans="1:5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spans="1:5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spans="1:5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spans="1:5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spans="1:5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spans="1:5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spans="1:5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spans="1:5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1:5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1:5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spans="1:5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spans="1:5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spans="1:5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spans="1:5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spans="1: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spans="1:5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spans="1:5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spans="1:5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spans="1:5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spans="1:5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spans="1:5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spans="1:5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spans="1:5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spans="1:5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spans="1:5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</sheetData>
  <mergeCells count="1">
    <mergeCell ref="A1:M1"/>
  </mergeCells>
  <pageMargins left="0.75" right="0.75" top="1" bottom="1" header="0.51" footer="0.51"/>
  <pageSetup paperSize="9" orientation="portrait" horizontalDpi="203" verticalDpi="203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JHORDAN ALEXANDER PILA TOAPANTA</cp:lastModifiedBy>
  <dcterms:created xsi:type="dcterms:W3CDTF">2020-08-21T09:41:33Z</dcterms:created>
  <dcterms:modified xsi:type="dcterms:W3CDTF">2026-04-06T17:23:43Z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  <property fmtid="{D5CDD505-2E9C-101B-9397-08002B2CF9AE}" pid="3" name="Generator">
    <vt:lpwstr>NPOI</vt:lpwstr>
  </property>
  <property fmtid="{D5CDD505-2E9C-101B-9397-08002B2CF9AE}" pid="4" name="Generator Version">
    <vt:lpwstr>2.3.0</vt:lpwstr>
  </property>
</Properties>
</file>